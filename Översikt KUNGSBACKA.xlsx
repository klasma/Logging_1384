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46251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46251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46251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46251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46251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46251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46251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46251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46251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46251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3281-2025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45679</v>
      </c>
      <c r="E17" s="1" t="n">
        <v>46251</v>
      </c>
      <c r="F17" t="inlineStr">
        <is>
          <t>HALLANDS LÄN</t>
        </is>
      </c>
      <c r="G17" t="inlineStr">
        <is>
          <t>KUNGSBACKA</t>
        </is>
      </c>
      <c r="I17" t="n">
        <v>10.8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3281-2025 artfynd.xlsx", "A 3281-2025")</f>
        <v/>
      </c>
      <c r="X17">
        <f>HYPERLINK("https://klasma.github.io/Logging_1384/kartor/A 3281-2025 karta.png", "A 3281-2025")</f>
        <v/>
      </c>
      <c r="Y17">
        <f>HYPERLINK("https://klasma.github.io/Logging_1384/kartor_geotiff/A 3281-2025 georefererad karta.tif", "A 3281-2025")</f>
        <v/>
      </c>
      <c r="AA17">
        <f>HYPERLINK("https://klasma.github.io/Logging_1384/klagomål/A 3281-2025 FSC-klagomål.docx", "A 3281-2025")</f>
        <v/>
      </c>
      <c r="AB17">
        <f>HYPERLINK("https://klasma.github.io/Logging_1384/klagomålsmail/A 3281-2025 FSC-klagomål mail.docx", "A 3281-2025")</f>
        <v/>
      </c>
      <c r="AC17">
        <f>HYPERLINK("https://klasma.github.io/Logging_1384/tillsyn/A 3281-2025 tillsynsbegäran.docx", "A 3281-2025")</f>
        <v/>
      </c>
      <c r="AD17">
        <f>HYPERLINK("https://klasma.github.io/Logging_1384/tillsynsmail/A 3281-2025 tillsynsbegäran mail.docx", "A 3281-2025")</f>
        <v/>
      </c>
    </row>
    <row r="18" ht="15" customHeight="1">
      <c r="A18" t="inlineStr">
        <is>
          <t>A 18150-2026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46251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Järnek</t>
        </is>
      </c>
      <c r="W18">
        <f>HYPERLINK("https://klasma.github.io/Logging_1384/artfynd/A 18150-2026 artfynd.xlsx", "A 18150-2026")</f>
        <v/>
      </c>
      <c r="X18">
        <f>HYPERLINK("https://klasma.github.io/Logging_1384/kartor/A 18150-2026 karta.png", "A 18150-2026")</f>
        <v/>
      </c>
      <c r="Y18">
        <f>HYPERLINK("https://klasma.github.io/Logging_1384/kartor_geotiff/A 18150-2026 georefererad karta.tif", "A 18150-2026")</f>
        <v/>
      </c>
      <c r="AA18">
        <f>HYPERLINK("https://klasma.github.io/Logging_1384/klagomål/A 18150-2026 FSC-klagomål.docx", "A 18150-2026")</f>
        <v/>
      </c>
      <c r="AB18">
        <f>HYPERLINK("https://klasma.github.io/Logging_1384/klagomålsmail/A 18150-2026 FSC-klagomål mail.docx", "A 18150-2026")</f>
        <v/>
      </c>
      <c r="AC18">
        <f>HYPERLINK("https://klasma.github.io/Logging_1384/tillsyn/A 18150-2026 tillsynsbegäran.docx", "A 18150-2026")</f>
        <v/>
      </c>
      <c r="AD18">
        <f>HYPERLINK("https://klasma.github.io/Logging_1384/tillsynsmail/A 18150-2026 tillsynsbegäran mail.docx", "A 18150-2026")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46251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46251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46251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1765-2023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44936</v>
      </c>
      <c r="E22" s="1" t="n">
        <v>46251</v>
      </c>
      <c r="F22" t="inlineStr">
        <is>
          <t>HALLANDS LÄN</t>
        </is>
      </c>
      <c r="G22" t="inlineStr">
        <is>
          <t>KUNGSBACKA</t>
        </is>
      </c>
      <c r="I22" t="n">
        <v>7.3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HYPERLINK("https://klasma.github.io/Logging_1384/artfynd/A 1765-2023 artfynd.xlsx", "A 1765-2023")</f>
        <v/>
      </c>
      <c r="X22">
        <f>HYPERLINK("https://klasma.github.io/Logging_1384/kartor/A 1765-2023 karta.png", "A 1765-2023")</f>
        <v/>
      </c>
      <c r="Y22">
        <f>HYPERLINK("https://klasma.github.io/Logging_1384/kartor_geotiff/A 1765-2023 georefererad karta.tif", "A 1765-2023")</f>
        <v/>
      </c>
      <c r="AA22">
        <f>HYPERLINK("https://klasma.github.io/Logging_1384/klagomål/A 1765-2023 FSC-klagomål.docx", "A 1765-2023")</f>
        <v/>
      </c>
      <c r="AB22">
        <f>HYPERLINK("https://klasma.github.io/Logging_1384/klagomålsmail/A 1765-2023 FSC-klagomål mail.docx", "A 1765-2023")</f>
        <v/>
      </c>
      <c r="AC22">
        <f>HYPERLINK("https://klasma.github.io/Logging_1384/tillsyn/A 1765-2023 tillsynsbegäran.docx", "A 1765-2023")</f>
        <v/>
      </c>
      <c r="AD22">
        <f>HYPERLINK("https://klasma.github.io/Logging_1384/tillsynsmail/A 1765-2023 tillsynsbegäran mail.docx", "A 1765-2023")</f>
        <v/>
      </c>
    </row>
    <row r="23" ht="15" customHeight="1">
      <c r="A23" t="inlineStr">
        <is>
          <t>A 9548-2024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45359</v>
      </c>
      <c r="E23" s="1" t="n">
        <v>46251</v>
      </c>
      <c r="F23" t="inlineStr">
        <is>
          <t>HALLANDS LÄN</t>
        </is>
      </c>
      <c r="G23" t="inlineStr">
        <is>
          <t>KUNGSBACKA</t>
        </is>
      </c>
      <c r="I23" t="n">
        <v>0.3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aspticka</t>
        </is>
      </c>
      <c r="W23">
        <f>HYPERLINK("https://klasma.github.io/Logging_1384/artfynd/A 9548-2024 artfynd.xlsx", "A 9548-2024")</f>
        <v/>
      </c>
      <c r="X23">
        <f>HYPERLINK("https://klasma.github.io/Logging_1384/kartor/A 9548-2024 karta.png", "A 9548-2024")</f>
        <v/>
      </c>
      <c r="Y23">
        <f>HYPERLINK("https://klasma.github.io/Logging_1384/kartor_geotiff/A 9548-2024 georefererad karta.tif", "A 9548-2024")</f>
        <v/>
      </c>
      <c r="AA23">
        <f>HYPERLINK("https://klasma.github.io/Logging_1384/klagomål/A 9548-2024 FSC-klagomål.docx", "A 9548-2024")</f>
        <v/>
      </c>
      <c r="AB23">
        <f>HYPERLINK("https://klasma.github.io/Logging_1384/klagomålsmail/A 9548-2024 FSC-klagomål mail.docx", "A 9548-2024")</f>
        <v/>
      </c>
      <c r="AC23">
        <f>HYPERLINK("https://klasma.github.io/Logging_1384/tillsyn/A 9548-2024 tillsynsbegäran.docx", "A 9548-2024")</f>
        <v/>
      </c>
      <c r="AD23">
        <f>HYPERLINK("https://klasma.github.io/Logging_1384/tillsynsmail/A 9548-2024 tillsynsbegäran mail.docx", "A 9548-2024")</f>
        <v/>
      </c>
    </row>
    <row r="24" ht="15" customHeight="1">
      <c r="A24" t="inlineStr">
        <is>
          <t>A 13932-2025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46251</v>
      </c>
      <c r="F24" t="inlineStr">
        <is>
          <t>HALLANDS LÄN</t>
        </is>
      </c>
      <c r="G24" t="inlineStr">
        <is>
          <t>KUNGSBACKA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HYPERLINK("https://klasma.github.io/Logging_1384/artfynd/A 13932-2025 artfynd.xlsx", "A 13932-2025")</f>
        <v/>
      </c>
      <c r="X24">
        <f>HYPERLINK("https://klasma.github.io/Logging_1384/kartor/A 13932-2025 karta.png", "A 13932-2025")</f>
        <v/>
      </c>
      <c r="Y24">
        <f>HYPERLINK("https://klasma.github.io/Logging_1384/kartor_geotiff/A 13932-2025 georefererad karta.tif", "A 13932-2025")</f>
        <v/>
      </c>
      <c r="AA24">
        <f>HYPERLINK("https://klasma.github.io/Logging_1384/klagomål/A 13932-2025 FSC-klagomål.docx", "A 13932-2025")</f>
        <v/>
      </c>
      <c r="AB24">
        <f>HYPERLINK("https://klasma.github.io/Logging_1384/klagomålsmail/A 13932-2025 FSC-klagomål mail.docx", "A 13932-2025")</f>
        <v/>
      </c>
      <c r="AC24">
        <f>HYPERLINK("https://klasma.github.io/Logging_1384/tillsyn/A 13932-2025 tillsynsbegäran.docx", "A 13932-2025")</f>
        <v/>
      </c>
      <c r="AD24">
        <f>HYPERLINK("https://klasma.github.io/Logging_1384/tillsynsmail/A 13932-2025 tillsynsbegäran mail.docx", "A 13932-2025")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46251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46251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36670-2022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46251</v>
      </c>
      <c r="F27" t="inlineStr">
        <is>
          <t>HALLANDS LÄN</t>
        </is>
      </c>
      <c r="G27" t="inlineStr">
        <is>
          <t>KUNGSBACKA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70634-2021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44537</v>
      </c>
      <c r="E28" s="1" t="n">
        <v>46251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47401-2022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46251</v>
      </c>
      <c r="F29" t="inlineStr">
        <is>
          <t>HALLANDS LÄN</t>
        </is>
      </c>
      <c r="G29" t="inlineStr">
        <is>
          <t>KUNGSBACKA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46251</v>
      </c>
      <c r="F30" t="inlineStr">
        <is>
          <t>HALLANDS LÄN</t>
        </is>
      </c>
      <c r="G30" t="inlineStr">
        <is>
          <t>KUNGSBACKA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46251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51535-2021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46251</v>
      </c>
      <c r="F32" t="inlineStr">
        <is>
          <t>HALLANDS LÄN</t>
        </is>
      </c>
      <c r="G32" t="inlineStr">
        <is>
          <t>KUNGSBACKA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44539</v>
      </c>
      <c r="E33" s="1" t="n">
        <v>46251</v>
      </c>
      <c r="F33" t="inlineStr">
        <is>
          <t>HALLANDS LÄN</t>
        </is>
      </c>
      <c r="G33" t="inlineStr">
        <is>
          <t>KUNGSBACKA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26979-2022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44740</v>
      </c>
      <c r="E34" s="1" t="n">
        <v>46251</v>
      </c>
      <c r="F34" t="inlineStr">
        <is>
          <t>HALLANDS LÄN</t>
        </is>
      </c>
      <c r="G34" t="inlineStr">
        <is>
          <t>KUNGSBACKA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46251</v>
      </c>
      <c r="F35" t="inlineStr">
        <is>
          <t>HALLANDS LÄN</t>
        </is>
      </c>
      <c r="G35" t="inlineStr">
        <is>
          <t>KUNGSBACKA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57034-2021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44482</v>
      </c>
      <c r="E36" s="1" t="n">
        <v>46251</v>
      </c>
      <c r="F36" t="inlineStr">
        <is>
          <t>HALLANDS LÄN</t>
        </is>
      </c>
      <c r="G36" t="inlineStr">
        <is>
          <t>KUNGSBACKA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46251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46251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46251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10137-2025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45719</v>
      </c>
      <c r="E40" s="1" t="n">
        <v>46251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46251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31302-2022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44773</v>
      </c>
      <c r="E42" s="1" t="n">
        <v>46251</v>
      </c>
      <c r="F42" t="inlineStr">
        <is>
          <t>HALLANDS LÄN</t>
        </is>
      </c>
      <c r="G42" t="inlineStr">
        <is>
          <t>KUNGSBACKA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46251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46251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46251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44819</v>
      </c>
      <c r="E46" s="1" t="n">
        <v>46251</v>
      </c>
      <c r="F46" t="inlineStr">
        <is>
          <t>HALLANDS LÄN</t>
        </is>
      </c>
      <c r="G46" t="inlineStr">
        <is>
          <t>KUNGSBACKA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46251</v>
      </c>
      <c r="F47" t="inlineStr">
        <is>
          <t>HALLANDS LÄN</t>
        </is>
      </c>
      <c r="G47" t="inlineStr">
        <is>
          <t>KUNGSBACKA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46251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46251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46251</v>
      </c>
      <c r="F50" t="inlineStr">
        <is>
          <t>HALLANDS LÄN</t>
        </is>
      </c>
      <c r="G50" t="inlineStr">
        <is>
          <t>KUNGSBACKA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45756</v>
      </c>
      <c r="E51" s="1" t="n">
        <v>46251</v>
      </c>
      <c r="F51" t="inlineStr">
        <is>
          <t>HALLANDS LÄN</t>
        </is>
      </c>
      <c r="G51" t="inlineStr">
        <is>
          <t>KUNGSBACKA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10124-2025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46251</v>
      </c>
      <c r="F52" t="inlineStr">
        <is>
          <t>HALLANDS LÄN</t>
        </is>
      </c>
      <c r="G52" t="inlineStr">
        <is>
          <t>KUNGSBACKA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10140-2025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46251</v>
      </c>
      <c r="F53" t="inlineStr">
        <is>
          <t>HALLANDS LÄN</t>
        </is>
      </c>
      <c r="G53" t="inlineStr">
        <is>
          <t>KUNGSBACKA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45370</v>
      </c>
      <c r="E54" s="1" t="n">
        <v>46251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46251</v>
      </c>
      <c r="F55" t="inlineStr">
        <is>
          <t>HALLANDS LÄN</t>
        </is>
      </c>
      <c r="G55" t="inlineStr">
        <is>
          <t>KUNGSBACKA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46251</v>
      </c>
      <c r="F56" t="inlineStr">
        <is>
          <t>HALLANDS LÄN</t>
        </is>
      </c>
      <c r="G56" t="inlineStr">
        <is>
          <t>KUNGSBACKA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46251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45749</v>
      </c>
      <c r="E58" s="1" t="n">
        <v>46251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46251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46251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46251</v>
      </c>
      <c r="F61" t="inlineStr">
        <is>
          <t>HALLANDS LÄN</t>
        </is>
      </c>
      <c r="G61" t="inlineStr">
        <is>
          <t>KUNGSBACKA</t>
        </is>
      </c>
      <c r="H61" t="inlineStr">
        <is>
          <t>Kommuner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45888</v>
      </c>
      <c r="E62" s="1" t="n">
        <v>46251</v>
      </c>
      <c r="F62" t="inlineStr">
        <is>
          <t>HALLANDS LÄN</t>
        </is>
      </c>
      <c r="G62" t="inlineStr">
        <is>
          <t>KUNGSBACKA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45504</v>
      </c>
      <c r="E63" s="1" t="n">
        <v>46251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46251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46251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46251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46251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44942</v>
      </c>
      <c r="E68" s="1" t="n">
        <v>46251</v>
      </c>
      <c r="F68" t="inlineStr">
        <is>
          <t>HALLANDS LÄN</t>
        </is>
      </c>
      <c r="G68" t="inlineStr">
        <is>
          <t>KUNGSBACKA</t>
        </is>
      </c>
      <c r="I68" t="n">
        <v>19.2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46251</v>
      </c>
      <c r="F69" t="inlineStr">
        <is>
          <t>HALLANDS LÄN</t>
        </is>
      </c>
      <c r="G69" t="inlineStr">
        <is>
          <t>KUNGSBACKA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46251</v>
      </c>
      <c r="F70" t="inlineStr">
        <is>
          <t>HALLANDS LÄN</t>
        </is>
      </c>
      <c r="G70" t="inlineStr">
        <is>
          <t>KUNGSBACKA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46251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46251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46251</v>
      </c>
      <c r="F73" t="inlineStr">
        <is>
          <t>HALLANDS LÄN</t>
        </is>
      </c>
      <c r="G73" t="inlineStr">
        <is>
          <t>KUNGSBACKA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46251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46251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46251</v>
      </c>
      <c r="F76" t="inlineStr">
        <is>
          <t>HALLANDS LÄN</t>
        </is>
      </c>
      <c r="G76" t="inlineStr">
        <is>
          <t>KUNGSBACKA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47452-2025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46251</v>
      </c>
      <c r="F77" t="inlineStr">
        <is>
          <t>HALLANDS LÄN</t>
        </is>
      </c>
      <c r="G77" t="inlineStr">
        <is>
          <t>KUNGSBACKA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46251</v>
      </c>
      <c r="F78" t="inlineStr">
        <is>
          <t>HALLANDS LÄN</t>
        </is>
      </c>
      <c r="G78" t="inlineStr">
        <is>
          <t>KUNGSBACKA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46251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46251</v>
      </c>
      <c r="F80" t="inlineStr">
        <is>
          <t>HALLANDS LÄN</t>
        </is>
      </c>
      <c r="G80" t="inlineStr">
        <is>
          <t>KUNGSBACKA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44897</v>
      </c>
      <c r="E81" s="1" t="n">
        <v>46251</v>
      </c>
      <c r="F81" t="inlineStr">
        <is>
          <t>HALLANDS LÄN</t>
        </is>
      </c>
      <c r="G81" t="inlineStr">
        <is>
          <t>KUNGSBACKA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44925</v>
      </c>
      <c r="E82" s="1" t="n">
        <v>46251</v>
      </c>
      <c r="F82" t="inlineStr">
        <is>
          <t>HALLANDS LÄN</t>
        </is>
      </c>
      <c r="G82" t="inlineStr">
        <is>
          <t>KUNGSBACKA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46251</v>
      </c>
      <c r="F83" t="inlineStr">
        <is>
          <t>HALLANDS LÄN</t>
        </is>
      </c>
      <c r="G83" t="inlineStr">
        <is>
          <t>KUNGSBACKA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44925</v>
      </c>
      <c r="E84" s="1" t="n">
        <v>46251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46251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46251</v>
      </c>
      <c r="F86" t="inlineStr">
        <is>
          <t>HALLANDS LÄN</t>
        </is>
      </c>
      <c r="G86" t="inlineStr">
        <is>
          <t>KUNGSBACKA</t>
        </is>
      </c>
      <c r="H86" t="inlineStr">
        <is>
          <t>Kyrkan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45743</v>
      </c>
      <c r="E87" s="1" t="n">
        <v>46251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46251</v>
      </c>
      <c r="F88" t="inlineStr">
        <is>
          <t>HALLANDS LÄN</t>
        </is>
      </c>
      <c r="G88" t="inlineStr">
        <is>
          <t>KUNGSBACKA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51523-2025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45950</v>
      </c>
      <c r="E89" s="1" t="n">
        <v>46251</v>
      </c>
      <c r="F89" t="inlineStr">
        <is>
          <t>HALLANDS LÄN</t>
        </is>
      </c>
      <c r="G89" t="inlineStr">
        <is>
          <t>KUNGSBACKA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45923</v>
      </c>
      <c r="E90" s="1" t="n">
        <v>46251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46251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46251</v>
      </c>
      <c r="F92" t="inlineStr">
        <is>
          <t>HALLANDS LÄN</t>
        </is>
      </c>
      <c r="G92" t="inlineStr">
        <is>
          <t>KUNGSBACKA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46251</v>
      </c>
      <c r="F93" t="inlineStr">
        <is>
          <t>HALLANDS LÄN</t>
        </is>
      </c>
      <c r="G93" t="inlineStr">
        <is>
          <t>KUNGSBACKA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46251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46251</v>
      </c>
      <c r="F95" t="inlineStr">
        <is>
          <t>HALLANDS LÄN</t>
        </is>
      </c>
      <c r="G95" t="inlineStr">
        <is>
          <t>KUNGSBACKA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46251</v>
      </c>
      <c r="F96" t="inlineStr">
        <is>
          <t>HALLANDS LÄN</t>
        </is>
      </c>
      <c r="G96" t="inlineStr">
        <is>
          <t>KUNGSBACKA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46251</v>
      </c>
      <c r="F97" t="inlineStr">
        <is>
          <t>HALLANDS LÄN</t>
        </is>
      </c>
      <c r="G97" t="inlineStr">
        <is>
          <t>KUNGSBACKA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46251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45968</v>
      </c>
      <c r="E99" s="1" t="n">
        <v>46251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46251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46251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45525</v>
      </c>
      <c r="E102" s="1" t="n">
        <v>46251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45525</v>
      </c>
      <c r="E103" s="1" t="n">
        <v>46251</v>
      </c>
      <c r="F103" t="inlineStr">
        <is>
          <t>HALLANDS LÄN</t>
        </is>
      </c>
      <c r="G103" t="inlineStr">
        <is>
          <t>KUNGSBACKA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46251</v>
      </c>
      <c r="F104" t="inlineStr">
        <is>
          <t>HALLANDS LÄN</t>
        </is>
      </c>
      <c r="G104" t="inlineStr">
        <is>
          <t>KUNGSBACKA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46251</v>
      </c>
      <c r="F105" t="inlineStr">
        <is>
          <t>HALLANDS LÄN</t>
        </is>
      </c>
      <c r="G105" t="inlineStr">
        <is>
          <t>KUNGSBACKA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46251</v>
      </c>
      <c r="F106" t="inlineStr">
        <is>
          <t>HALLANDS LÄN</t>
        </is>
      </c>
      <c r="G106" t="inlineStr">
        <is>
          <t>KUNGSBACKA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46251</v>
      </c>
      <c r="F107" t="inlineStr">
        <is>
          <t>HALLANDS LÄN</t>
        </is>
      </c>
      <c r="G107" t="inlineStr">
        <is>
          <t>KUNGSBACKA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46251</v>
      </c>
      <c r="F108" t="inlineStr">
        <is>
          <t>HALLANDS LÄN</t>
        </is>
      </c>
      <c r="G108" t="inlineStr">
        <is>
          <t>KUNGSBACKA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46251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46125</v>
      </c>
      <c r="E110" s="1" t="n">
        <v>46251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44775</v>
      </c>
      <c r="E111" s="1" t="n">
        <v>46251</v>
      </c>
      <c r="F111" t="inlineStr">
        <is>
          <t>HALLANDS LÄN</t>
        </is>
      </c>
      <c r="G111" t="inlineStr">
        <is>
          <t>KUNGSBACKA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46251</v>
      </c>
      <c r="F112" t="inlineStr">
        <is>
          <t>HALLANDS LÄN</t>
        </is>
      </c>
      <c r="G112" t="inlineStr">
        <is>
          <t>KUNGSBACKA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46251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46251</v>
      </c>
      <c r="F114" t="inlineStr">
        <is>
          <t>HALLANDS LÄN</t>
        </is>
      </c>
      <c r="G114" t="inlineStr">
        <is>
          <t>KUNGSBACKA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44684</v>
      </c>
      <c r="E115" s="1" t="n">
        <v>46251</v>
      </c>
      <c r="F115" t="inlineStr">
        <is>
          <t>HALLANDS LÄN</t>
        </is>
      </c>
      <c r="G115" t="inlineStr">
        <is>
          <t>KUNGSBACKA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46251</v>
      </c>
      <c r="F116" t="inlineStr">
        <is>
          <t>HALLANDS LÄN</t>
        </is>
      </c>
      <c r="G116" t="inlineStr">
        <is>
          <t>KUNGSBACKA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46251</v>
      </c>
      <c r="F117" t="inlineStr">
        <is>
          <t>HALLANDS LÄN</t>
        </is>
      </c>
      <c r="G117" t="inlineStr">
        <is>
          <t>KUNGSBACKA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46251</v>
      </c>
      <c r="F118" t="inlineStr">
        <is>
          <t>HALLANDS LÄN</t>
        </is>
      </c>
      <c r="G118" t="inlineStr">
        <is>
          <t>KUNGSBACKA</t>
        </is>
      </c>
      <c r="H118" t="inlineStr">
        <is>
          <t>Kommuner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46251</v>
      </c>
      <c r="F119" t="inlineStr">
        <is>
          <t>HALLANDS LÄN</t>
        </is>
      </c>
      <c r="G119" t="inlineStr">
        <is>
          <t>KUNGSBACKA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46251</v>
      </c>
      <c r="F120" t="inlineStr">
        <is>
          <t>HALLANDS LÄN</t>
        </is>
      </c>
      <c r="G120" t="inlineStr">
        <is>
          <t>KUNGSBACKA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46251</v>
      </c>
      <c r="F121" t="inlineStr">
        <is>
          <t>HALLANDS LÄN</t>
        </is>
      </c>
      <c r="G121" t="inlineStr">
        <is>
          <t>KUNGSBACKA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46251</v>
      </c>
      <c r="F122" t="inlineStr">
        <is>
          <t>HALLANDS LÄN</t>
        </is>
      </c>
      <c r="G122" t="inlineStr">
        <is>
          <t>KUNGSBACKA</t>
        </is>
      </c>
      <c r="H122" t="inlineStr">
        <is>
          <t>Kyrkan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46251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46251</v>
      </c>
      <c r="F124" t="inlineStr">
        <is>
          <t>HALLANDS LÄN</t>
        </is>
      </c>
      <c r="G124" t="inlineStr">
        <is>
          <t>KUNGSBACKA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46251</v>
      </c>
      <c r="F125" t="inlineStr">
        <is>
          <t>HALLANDS LÄN</t>
        </is>
      </c>
      <c r="G125" t="inlineStr">
        <is>
          <t>KUNGSBACKA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46251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46251</v>
      </c>
      <c r="F127" t="inlineStr">
        <is>
          <t>HALLANDS LÄN</t>
        </is>
      </c>
      <c r="G127" t="inlineStr">
        <is>
          <t>KUNGSBACKA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46251</v>
      </c>
      <c r="F128" t="inlineStr">
        <is>
          <t>HALLANDS LÄN</t>
        </is>
      </c>
      <c r="G128" t="inlineStr">
        <is>
          <t>KUNGSBACKA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46251</v>
      </c>
      <c r="F129" t="inlineStr">
        <is>
          <t>HALLANDS LÄN</t>
        </is>
      </c>
      <c r="G129" t="inlineStr">
        <is>
          <t>KUNGSBACKA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46251</v>
      </c>
      <c r="F130" t="inlineStr">
        <is>
          <t>HALLANDS LÄN</t>
        </is>
      </c>
      <c r="G130" t="inlineStr">
        <is>
          <t>KUNGSBACKA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46251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46251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46251</v>
      </c>
      <c r="F133" t="inlineStr">
        <is>
          <t>HALLANDS LÄN</t>
        </is>
      </c>
      <c r="G133" t="inlineStr">
        <is>
          <t>KUNGSBACKA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46251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46251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45131</v>
      </c>
      <c r="E136" s="1" t="n">
        <v>46251</v>
      </c>
      <c r="F136" t="inlineStr">
        <is>
          <t>HALLANDS LÄN</t>
        </is>
      </c>
      <c r="G136" t="inlineStr">
        <is>
          <t>KUNGSBACKA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45131</v>
      </c>
      <c r="E137" s="1" t="n">
        <v>46251</v>
      </c>
      <c r="F137" t="inlineStr">
        <is>
          <t>HALLANDS LÄN</t>
        </is>
      </c>
      <c r="G137" t="inlineStr">
        <is>
          <t>KUNGSBACKA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46251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46251</v>
      </c>
      <c r="F139" t="inlineStr">
        <is>
          <t>HALLANDS LÄN</t>
        </is>
      </c>
      <c r="G139" t="inlineStr">
        <is>
          <t>KUNGSBACKA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46251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46251</v>
      </c>
      <c r="F141" t="inlineStr">
        <is>
          <t>HALLANDS LÄN</t>
        </is>
      </c>
      <c r="G141" t="inlineStr">
        <is>
          <t>KUNGSBACKA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46251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46251</v>
      </c>
      <c r="F143" t="inlineStr">
        <is>
          <t>HALLANDS LÄN</t>
        </is>
      </c>
      <c r="G143" t="inlineStr">
        <is>
          <t>KUNGSBACKA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45078</v>
      </c>
      <c r="E144" s="1" t="n">
        <v>46251</v>
      </c>
      <c r="F144" t="inlineStr">
        <is>
          <t>HALLANDS LÄN</t>
        </is>
      </c>
      <c r="G144" t="inlineStr">
        <is>
          <t>KUNGSBACKA</t>
        </is>
      </c>
      <c r="H144" t="inlineStr">
        <is>
          <t>Övriga Aktiebolag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46251</v>
      </c>
      <c r="F145" t="inlineStr">
        <is>
          <t>HALLANDS LÄN</t>
        </is>
      </c>
      <c r="G145" t="inlineStr">
        <is>
          <t>KUNGSBACKA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45801</v>
      </c>
      <c r="E146" s="1" t="n">
        <v>46251</v>
      </c>
      <c r="F146" t="inlineStr">
        <is>
          <t>HALLANDS LÄN</t>
        </is>
      </c>
      <c r="G146" t="inlineStr">
        <is>
          <t>KUNGSBACKA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59623-2024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45638</v>
      </c>
      <c r="E147" s="1" t="n">
        <v>46251</v>
      </c>
      <c r="F147" t="inlineStr">
        <is>
          <t>HALLANDS LÄN</t>
        </is>
      </c>
      <c r="G147" t="inlineStr">
        <is>
          <t>KUNGSBACKA</t>
        </is>
      </c>
      <c r="I147" t="n">
        <v>19.2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46251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46251</v>
      </c>
      <c r="F149" t="inlineStr">
        <is>
          <t>HALLANDS LÄN</t>
        </is>
      </c>
      <c r="G149" t="inlineStr">
        <is>
          <t>KUNGSBACKA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46251</v>
      </c>
      <c r="F150" t="inlineStr">
        <is>
          <t>HALLANDS LÄN</t>
        </is>
      </c>
      <c r="G150" t="inlineStr">
        <is>
          <t>KUNGSBACKA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46251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46251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46251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71891-2021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46251</v>
      </c>
      <c r="F154" t="inlineStr">
        <is>
          <t>HALLANDS LÄN</t>
        </is>
      </c>
      <c r="G154" t="inlineStr">
        <is>
          <t>KUNGSBACKA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46251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46251</v>
      </c>
      <c r="F156" t="inlineStr">
        <is>
          <t>HALLANDS LÄN</t>
        </is>
      </c>
      <c r="G156" t="inlineStr">
        <is>
          <t>KUNGSBACKA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46251</v>
      </c>
      <c r="F157" t="inlineStr">
        <is>
          <t>HALLANDS LÄN</t>
        </is>
      </c>
      <c r="G157" t="inlineStr">
        <is>
          <t>KUNGSBACKA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46251</v>
      </c>
      <c r="F158" t="inlineStr">
        <is>
          <t>HALLANDS LÄN</t>
        </is>
      </c>
      <c r="G158" t="inlineStr">
        <is>
          <t>KUNGSBACKA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46251</v>
      </c>
      <c r="F159" t="inlineStr">
        <is>
          <t>HALLANDS LÄN</t>
        </is>
      </c>
      <c r="G159" t="inlineStr">
        <is>
          <t>KUNGSBACKA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46251</v>
      </c>
      <c r="F160" t="inlineStr">
        <is>
          <t>HALLANDS LÄN</t>
        </is>
      </c>
      <c r="G160" t="inlineStr">
        <is>
          <t>KUNGSBACKA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46251</v>
      </c>
      <c r="F161" t="inlineStr">
        <is>
          <t>HALLANDS LÄN</t>
        </is>
      </c>
      <c r="G161" t="inlineStr">
        <is>
          <t>KUNGSBACKA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46251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46054</v>
      </c>
      <c r="E163" s="1" t="n">
        <v>46251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46251</v>
      </c>
      <c r="F164" t="inlineStr">
        <is>
          <t>HALLANDS LÄN</t>
        </is>
      </c>
      <c r="G164" t="inlineStr">
        <is>
          <t>KUNGSBACKA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46251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46251</v>
      </c>
      <c r="F166" t="inlineStr">
        <is>
          <t>HALLANDS LÄN</t>
        </is>
      </c>
      <c r="G166" t="inlineStr">
        <is>
          <t>KUNGSBACKA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46251</v>
      </c>
      <c r="F167" t="inlineStr">
        <is>
          <t>HALLANDS LÄN</t>
        </is>
      </c>
      <c r="G167" t="inlineStr">
        <is>
          <t>KUNGSBACKA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46251</v>
      </c>
      <c r="F168" t="inlineStr">
        <is>
          <t>HALLANDS LÄN</t>
        </is>
      </c>
      <c r="G168" t="inlineStr">
        <is>
          <t>KUNGSBACKA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46251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45398</v>
      </c>
      <c r="E170" s="1" t="n">
        <v>46251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46251</v>
      </c>
      <c r="F171" t="inlineStr">
        <is>
          <t>HALLANDS LÄN</t>
        </is>
      </c>
      <c r="G171" t="inlineStr">
        <is>
          <t>KUNGSBACKA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45749</v>
      </c>
      <c r="E172" s="1" t="n">
        <v>46251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45242</v>
      </c>
      <c r="E173" s="1" t="n">
        <v>46251</v>
      </c>
      <c r="F173" t="inlineStr">
        <is>
          <t>HALLANDS LÄN</t>
        </is>
      </c>
      <c r="G173" t="inlineStr">
        <is>
          <t>KUNGSBACKA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45242</v>
      </c>
      <c r="E174" s="1" t="n">
        <v>46251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45656</v>
      </c>
      <c r="E175" s="1" t="n">
        <v>46251</v>
      </c>
      <c r="F175" t="inlineStr">
        <is>
          <t>HALLANDS LÄN</t>
        </is>
      </c>
      <c r="G175" t="inlineStr">
        <is>
          <t>KUNGSBACKA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46251</v>
      </c>
      <c r="F176" t="inlineStr">
        <is>
          <t>HALLANDS LÄN</t>
        </is>
      </c>
      <c r="G176" t="inlineStr">
        <is>
          <t>KUNGSBACKA</t>
        </is>
      </c>
      <c r="H176" t="inlineStr">
        <is>
          <t>Kommuner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46251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48406-2023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46251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46251</v>
      </c>
      <c r="F179" t="inlineStr">
        <is>
          <t>HALLANDS LÄN</t>
        </is>
      </c>
      <c r="G179" t="inlineStr">
        <is>
          <t>KUNGSBACKA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46251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45596</v>
      </c>
      <c r="E181" s="1" t="n">
        <v>46251</v>
      </c>
      <c r="F181" t="inlineStr">
        <is>
          <t>HALLANDS LÄN</t>
        </is>
      </c>
      <c r="G181" t="inlineStr">
        <is>
          <t>KUNGSBACKA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46251</v>
      </c>
      <c r="F182" t="inlineStr">
        <is>
          <t>HALLANDS LÄN</t>
        </is>
      </c>
      <c r="G182" t="inlineStr">
        <is>
          <t>KUNGSBACKA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46251</v>
      </c>
      <c r="F183" t="inlineStr">
        <is>
          <t>HALLANDS LÄN</t>
        </is>
      </c>
      <c r="G183" t="inlineStr">
        <is>
          <t>KUNGSBACKA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46251</v>
      </c>
      <c r="F184" t="inlineStr">
        <is>
          <t>HALLANDS LÄN</t>
        </is>
      </c>
      <c r="G184" t="inlineStr">
        <is>
          <t>KUNGSBACKA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46251</v>
      </c>
      <c r="F185" t="inlineStr">
        <is>
          <t>HALLANDS LÄN</t>
        </is>
      </c>
      <c r="G185" t="inlineStr">
        <is>
          <t>KUNGSBACKA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44468</v>
      </c>
      <c r="E186" s="1" t="n">
        <v>46251</v>
      </c>
      <c r="F186" t="inlineStr">
        <is>
          <t>HALLANDS LÄN</t>
        </is>
      </c>
      <c r="G186" t="inlineStr">
        <is>
          <t>KUNGSBACKA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46251</v>
      </c>
      <c r="F187" t="inlineStr">
        <is>
          <t>HALLANDS LÄN</t>
        </is>
      </c>
      <c r="G187" t="inlineStr">
        <is>
          <t>KUNGSBACKA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48754-2023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45208</v>
      </c>
      <c r="E188" s="1" t="n">
        <v>46251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46251</v>
      </c>
      <c r="F189" t="inlineStr">
        <is>
          <t>HALLANDS LÄN</t>
        </is>
      </c>
      <c r="G189" t="inlineStr">
        <is>
          <t>KUNGSBACKA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46251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46251</v>
      </c>
      <c r="F191" t="inlineStr">
        <is>
          <t>HALLANDS LÄN</t>
        </is>
      </c>
      <c r="G191" t="inlineStr">
        <is>
          <t>KUNGSBACKA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46251</v>
      </c>
      <c r="F192" t="inlineStr">
        <is>
          <t>HALLANDS LÄN</t>
        </is>
      </c>
      <c r="G192" t="inlineStr">
        <is>
          <t>KUNGSBACKA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46251</v>
      </c>
      <c r="F193" t="inlineStr">
        <is>
          <t>HALLANDS LÄN</t>
        </is>
      </c>
      <c r="G193" t="inlineStr">
        <is>
          <t>KUNGSBACKA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46251</v>
      </c>
      <c r="F194" t="inlineStr">
        <is>
          <t>HALLANDS LÄN</t>
        </is>
      </c>
      <c r="G194" t="inlineStr">
        <is>
          <t>KUNGSBACKA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46251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46251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46251</v>
      </c>
      <c r="F197" t="inlineStr">
        <is>
          <t>HALLANDS LÄN</t>
        </is>
      </c>
      <c r="G197" t="inlineStr">
        <is>
          <t>KUNGSBACKA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45721</v>
      </c>
      <c r="E198" s="1" t="n">
        <v>46251</v>
      </c>
      <c r="F198" t="inlineStr">
        <is>
          <t>HALLANDS LÄN</t>
        </is>
      </c>
      <c r="G198" t="inlineStr">
        <is>
          <t>KUNGSBACKA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46251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45656</v>
      </c>
      <c r="E200" s="1" t="n">
        <v>46251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46251</v>
      </c>
      <c r="F201" t="inlineStr">
        <is>
          <t>HALLANDS LÄN</t>
        </is>
      </c>
      <c r="G201" t="inlineStr">
        <is>
          <t>KUNGSBACKA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46251</v>
      </c>
      <c r="F202" t="inlineStr">
        <is>
          <t>HALLANDS LÄN</t>
        </is>
      </c>
      <c r="G202" t="inlineStr">
        <is>
          <t>KUNGSBACKA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17293-2025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45756</v>
      </c>
      <c r="E203" s="1" t="n">
        <v>46251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46251</v>
      </c>
      <c r="F204" t="inlineStr">
        <is>
          <t>HALLANDS LÄN</t>
        </is>
      </c>
      <c r="G204" t="inlineStr">
        <is>
          <t>KUNGSBACKA</t>
        </is>
      </c>
      <c r="H204" t="inlineStr">
        <is>
          <t>Övriga Aktiebolag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46251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45653</v>
      </c>
      <c r="E206" s="1" t="n">
        <v>46251</v>
      </c>
      <c r="F206" t="inlineStr">
        <is>
          <t>HALLANDS LÄN</t>
        </is>
      </c>
      <c r="G206" t="inlineStr">
        <is>
          <t>KUNGSBACKA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45653</v>
      </c>
      <c r="E207" s="1" t="n">
        <v>46251</v>
      </c>
      <c r="F207" t="inlineStr">
        <is>
          <t>HALLANDS LÄN</t>
        </is>
      </c>
      <c r="G207" t="inlineStr">
        <is>
          <t>KUNGSBACKA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45653</v>
      </c>
      <c r="E208" s="1" t="n">
        <v>46251</v>
      </c>
      <c r="F208" t="inlineStr">
        <is>
          <t>HALLANDS LÄN</t>
        </is>
      </c>
      <c r="G208" t="inlineStr">
        <is>
          <t>KUNGSBACKA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46251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46251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46251</v>
      </c>
      <c r="F211" t="inlineStr">
        <is>
          <t>HALLANDS LÄN</t>
        </is>
      </c>
      <c r="G211" t="inlineStr">
        <is>
          <t>KUNGSBACKA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46251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46251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46251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46251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46251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45323</v>
      </c>
      <c r="E217" s="1" t="n">
        <v>46251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46251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44997</v>
      </c>
      <c r="E219" s="1" t="n">
        <v>46251</v>
      </c>
      <c r="F219" t="inlineStr">
        <is>
          <t>HALLANDS LÄN</t>
        </is>
      </c>
      <c r="G219" t="inlineStr">
        <is>
          <t>KUNGSBACKA</t>
        </is>
      </c>
      <c r="I219" t="n">
        <v>10.5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44539</v>
      </c>
      <c r="E220" s="1" t="n">
        <v>46251</v>
      </c>
      <c r="F220" t="inlineStr">
        <is>
          <t>HALLANDS LÄN</t>
        </is>
      </c>
      <c r="G220" t="inlineStr">
        <is>
          <t>KUNGSBACKA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45777</v>
      </c>
      <c r="E221" s="1" t="n">
        <v>46251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46251</v>
      </c>
      <c r="F222" t="inlineStr">
        <is>
          <t>HALLANDS LÄN</t>
        </is>
      </c>
      <c r="G222" t="inlineStr">
        <is>
          <t>KUNGSBACKA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45014</v>
      </c>
      <c r="E223" s="1" t="n">
        <v>46251</v>
      </c>
      <c r="F223" t="inlineStr">
        <is>
          <t>HALLANDS LÄN</t>
        </is>
      </c>
      <c r="G223" t="inlineStr">
        <is>
          <t>KUNGSBACKA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46251</v>
      </c>
      <c r="F224" t="inlineStr">
        <is>
          <t>HALLANDS LÄN</t>
        </is>
      </c>
      <c r="G224" t="inlineStr">
        <is>
          <t>KUNGSBACKA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46251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46251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46251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45400</v>
      </c>
      <c r="E228" s="1" t="n">
        <v>46251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46251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46251</v>
      </c>
      <c r="F230" t="inlineStr">
        <is>
          <t>HALLANDS LÄN</t>
        </is>
      </c>
      <c r="G230" t="inlineStr">
        <is>
          <t>KUNGSBACKA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46251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46251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46251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25269-2025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46251</v>
      </c>
      <c r="F234" t="inlineStr">
        <is>
          <t>HALLANDS LÄN</t>
        </is>
      </c>
      <c r="G234" t="inlineStr">
        <is>
          <t>KUNGSBACKA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46251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46251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25351-2026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46176</v>
      </c>
      <c r="E237" s="1" t="n">
        <v>46251</v>
      </c>
      <c r="F237" t="inlineStr">
        <is>
          <t>HALLANDS LÄN</t>
        </is>
      </c>
      <c r="G237" t="inlineStr">
        <is>
          <t>KUNGSBACKA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46251</v>
      </c>
      <c r="F238" t="inlineStr">
        <is>
          <t>HALLANDS LÄN</t>
        </is>
      </c>
      <c r="G238" t="inlineStr">
        <is>
          <t>KUNGSBACKA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25337-2026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46176</v>
      </c>
      <c r="E239" s="1" t="n">
        <v>46251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46251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46251</v>
      </c>
      <c r="F241" t="inlineStr">
        <is>
          <t>HALLANDS LÄN</t>
        </is>
      </c>
      <c r="G241" t="inlineStr">
        <is>
          <t>KUNGSBACKA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46251</v>
      </c>
      <c r="F242" t="inlineStr">
        <is>
          <t>HALLANDS LÄN</t>
        </is>
      </c>
      <c r="G242" t="inlineStr">
        <is>
          <t>KUNGSBACKA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46251</v>
      </c>
      <c r="F243" t="inlineStr">
        <is>
          <t>HALLANDS LÄN</t>
        </is>
      </c>
      <c r="G243" t="inlineStr">
        <is>
          <t>KUNGSBACKA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46251</v>
      </c>
      <c r="F244" t="inlineStr">
        <is>
          <t>HALLANDS LÄN</t>
        </is>
      </c>
      <c r="G244" t="inlineStr">
        <is>
          <t>KUNGSBACKA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46251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46251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46251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45366</v>
      </c>
      <c r="E248" s="1" t="n">
        <v>46251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46251</v>
      </c>
      <c r="F249" t="inlineStr">
        <is>
          <t>HALLANDS LÄN</t>
        </is>
      </c>
      <c r="G249" t="inlineStr">
        <is>
          <t>KUNGSBACKA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46251</v>
      </c>
      <c r="F250" t="inlineStr">
        <is>
          <t>HALLANDS LÄN</t>
        </is>
      </c>
      <c r="G250" t="inlineStr">
        <is>
          <t>KUNGSBACKA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46251</v>
      </c>
      <c r="F251" t="inlineStr">
        <is>
          <t>HALLANDS LÄN</t>
        </is>
      </c>
      <c r="G251" t="inlineStr">
        <is>
          <t>KUNGSBACKA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46251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46251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46251</v>
      </c>
      <c r="F254" t="inlineStr">
        <is>
          <t>HALLANDS LÄN</t>
        </is>
      </c>
      <c r="G254" t="inlineStr">
        <is>
          <t>KUNGSBACKA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46251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46251</v>
      </c>
      <c r="F256" t="inlineStr">
        <is>
          <t>HALLANDS LÄN</t>
        </is>
      </c>
      <c r="G256" t="inlineStr">
        <is>
          <t>KUNGSBACKA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46184</v>
      </c>
      <c r="E257" s="1" t="n">
        <v>46251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46251</v>
      </c>
      <c r="F258" t="inlineStr">
        <is>
          <t>HALLANDS LÄN</t>
        </is>
      </c>
      <c r="G258" t="inlineStr">
        <is>
          <t>KUNGSBACKA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46251</v>
      </c>
      <c r="F259" t="inlineStr">
        <is>
          <t>HALLANDS LÄN</t>
        </is>
      </c>
      <c r="G259" t="inlineStr">
        <is>
          <t>KUNGSBACKA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46251</v>
      </c>
      <c r="F260" t="inlineStr">
        <is>
          <t>HALLANDS LÄN</t>
        </is>
      </c>
      <c r="G260" t="inlineStr">
        <is>
          <t>KUNGSBACKA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46251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46251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46251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46232</v>
      </c>
      <c r="E264" s="1" t="n">
        <v>46251</v>
      </c>
      <c r="F264" t="inlineStr">
        <is>
          <t>HALLANDS LÄN</t>
        </is>
      </c>
      <c r="G264" t="inlineStr">
        <is>
          <t>KUNGSBACKA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46251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46251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46251</v>
      </c>
      <c r="F267" t="inlineStr">
        <is>
          <t>HALLANDS LÄN</t>
        </is>
      </c>
      <c r="G267" t="inlineStr">
        <is>
          <t>KUNGSBACKA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46251</v>
      </c>
      <c r="F268" t="inlineStr">
        <is>
          <t>HALLANDS LÄN</t>
        </is>
      </c>
      <c r="G268" t="inlineStr">
        <is>
          <t>KUNGSBACKA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46251</v>
      </c>
      <c r="F269" t="inlineStr">
        <is>
          <t>HALLANDS LÄN</t>
        </is>
      </c>
      <c r="G269" t="inlineStr">
        <is>
          <t>KUNGSBACKA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46251</v>
      </c>
      <c r="F270" t="inlineStr">
        <is>
          <t>HALLANDS LÄN</t>
        </is>
      </c>
      <c r="G270" t="inlineStr">
        <is>
          <t>KUNGSBACKA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44613</v>
      </c>
      <c r="E271" s="1" t="n">
        <v>46251</v>
      </c>
      <c r="F271" t="inlineStr">
        <is>
          <t>HALLANDS LÄN</t>
        </is>
      </c>
      <c r="G271" t="inlineStr">
        <is>
          <t>KUNGSBACKA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46251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46251</v>
      </c>
      <c r="F273" t="inlineStr">
        <is>
          <t>HALLANDS LÄN</t>
        </is>
      </c>
      <c r="G273" t="inlineStr">
        <is>
          <t>KUNGSBACKA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45849</v>
      </c>
      <c r="E274" s="1" t="n">
        <v>46251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46251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46251</v>
      </c>
      <c r="F276" t="inlineStr">
        <is>
          <t>HALLANDS LÄN</t>
        </is>
      </c>
      <c r="G276" t="inlineStr">
        <is>
          <t>KUNGSBACKA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46251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46251</v>
      </c>
      <c r="F278" t="inlineStr">
        <is>
          <t>HALLANDS LÄN</t>
        </is>
      </c>
      <c r="G278" t="inlineStr">
        <is>
          <t>KUNGSBACKA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46251</v>
      </c>
      <c r="F279" t="inlineStr">
        <is>
          <t>HALLANDS LÄN</t>
        </is>
      </c>
      <c r="G279" t="inlineStr">
        <is>
          <t>KUNGSBACKA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45478</v>
      </c>
      <c r="E280" s="1" t="n">
        <v>46251</v>
      </c>
      <c r="F280" t="inlineStr">
        <is>
          <t>HALLANDS LÄN</t>
        </is>
      </c>
      <c r="G280" t="inlineStr">
        <is>
          <t>KUNGSBACKA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46251</v>
      </c>
      <c r="F281" t="inlineStr">
        <is>
          <t>HALLANDS LÄN</t>
        </is>
      </c>
      <c r="G281" t="inlineStr">
        <is>
          <t>KUNGSBACKA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46251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46251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46251</v>
      </c>
      <c r="F284" t="inlineStr">
        <is>
          <t>HALLANDS LÄN</t>
        </is>
      </c>
      <c r="G284" t="inlineStr">
        <is>
          <t>KUNGSBACKA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46251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46251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46251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46251</v>
      </c>
      <c r="F288" t="inlineStr">
        <is>
          <t>HALLANDS LÄN</t>
        </is>
      </c>
      <c r="G288" t="inlineStr">
        <is>
          <t>KUNGSBACKA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46251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46251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46251</v>
      </c>
      <c r="F291" t="inlineStr">
        <is>
          <t>HALLANDS LÄN</t>
        </is>
      </c>
      <c r="G291" t="inlineStr">
        <is>
          <t>KUNGSBACKA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45686</v>
      </c>
      <c r="E292" s="1" t="n">
        <v>46251</v>
      </c>
      <c r="F292" t="inlineStr">
        <is>
          <t>HALLANDS LÄN</t>
        </is>
      </c>
      <c r="G292" t="inlineStr">
        <is>
          <t>KUNGSBACKA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46251</v>
      </c>
      <c r="F293" t="inlineStr">
        <is>
          <t>HALLANDS LÄN</t>
        </is>
      </c>
      <c r="G293" t="inlineStr">
        <is>
          <t>KUNGSBACKA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46251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46251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46251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45118</v>
      </c>
      <c r="E297" s="1" t="n">
        <v>46251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46251</v>
      </c>
      <c r="F298" t="inlineStr">
        <is>
          <t>HALLANDS LÄN</t>
        </is>
      </c>
      <c r="G298" t="inlineStr">
        <is>
          <t>KUNGSBACKA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46251</v>
      </c>
      <c r="F299" t="inlineStr">
        <is>
          <t>HALLANDS LÄN</t>
        </is>
      </c>
      <c r="G299" t="inlineStr">
        <is>
          <t>KUNGSBACKA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46251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45134</v>
      </c>
      <c r="E301" s="1" t="n">
        <v>46251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46251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46251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46251</v>
      </c>
      <c r="F304" t="inlineStr">
        <is>
          <t>HALLANDS LÄN</t>
        </is>
      </c>
      <c r="G304" t="inlineStr">
        <is>
          <t>KUNGSBACKA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46251</v>
      </c>
      <c r="F305" t="inlineStr">
        <is>
          <t>HALLANDS LÄN</t>
        </is>
      </c>
      <c r="G305" t="inlineStr">
        <is>
          <t>KUNGSBACKA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46251</v>
      </c>
      <c r="F306" t="inlineStr">
        <is>
          <t>HALLANDS LÄN</t>
        </is>
      </c>
      <c r="G306" t="inlineStr">
        <is>
          <t>KUNGSBACKA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45635</v>
      </c>
      <c r="E307" s="1" t="n">
        <v>46251</v>
      </c>
      <c r="F307" t="inlineStr">
        <is>
          <t>HALLANDS LÄN</t>
        </is>
      </c>
      <c r="G307" t="inlineStr">
        <is>
          <t>KUNGSBACKA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46251</v>
      </c>
      <c r="F308" t="inlineStr">
        <is>
          <t>HALLANDS LÄN</t>
        </is>
      </c>
      <c r="G308" t="inlineStr">
        <is>
          <t>KUNGSBACKA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46251</v>
      </c>
      <c r="F309" t="inlineStr">
        <is>
          <t>HALLANDS LÄN</t>
        </is>
      </c>
      <c r="G309" t="inlineStr">
        <is>
          <t>KUNGSBACKA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46251</v>
      </c>
      <c r="F310" t="inlineStr">
        <is>
          <t>HALLANDS LÄN</t>
        </is>
      </c>
      <c r="G310" t="inlineStr">
        <is>
          <t>KUNGSBACKA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46251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46251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45288</v>
      </c>
      <c r="E313" s="1" t="n">
        <v>46251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46251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2026-08-17T01:49:07Z</dcterms:created>
  <dcterms:modified xmlns:dcterms="http://purl.org/dc/terms/" xmlns:xsi="http://www.w3.org/2001/XMLSchema-instance" xsi:type="dcterms:W3CDTF">2026-08-17T01:49:07Z</dcterms:modified>
</cp:coreProperties>
</file>