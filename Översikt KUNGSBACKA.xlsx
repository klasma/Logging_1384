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s="2" t="inlineStr">
        <is>
          <t>Blåmossa
Guldlockmossa
Klippfrullania
Myskbock
Rostfläck
Hasselmus
Revlummer</t>
        </is>
      </c>
      <c r="V2">
        <f>HYPERLINK("https://klasma.github.io/Logging_1384/artfynd/A 63965-2021 artfynd.xlsx", "A 63965-2021")</f>
        <v/>
      </c>
      <c r="W2">
        <f>HYPERLINK("https://klasma.github.io/Logging_1384/kartor/A 63965-2021 karta.png", "A 63965-2021")</f>
        <v/>
      </c>
      <c r="X2">
        <f>HYPERLINK("https://klasma.github.io/Logging_1384/kartor_geotiff/A 63965-2021 georefererad karta.tif", "A 63965-2021")</f>
        <v/>
      </c>
      <c r="Z2">
        <f>HYPERLINK("https://klasma.github.io/Logging_1384/klagomål/A 63965-2021 FSC-klagomål.docx", "A 63965-2021")</f>
        <v/>
      </c>
      <c r="AA2">
        <f>HYPERLINK("https://klasma.github.io/Logging_1384/klagomålsmail/A 63965-2021 FSC-klagomål mail.docx", "A 63965-2021")</f>
        <v/>
      </c>
      <c r="AB2">
        <f>HYPERLINK("https://klasma.github.io/Logging_1384/tillsyn/A 63965-2021 tillsynsbegäran.docx", "A 63965-2021")</f>
        <v/>
      </c>
      <c r="AC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46223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s="2" t="inlineStr">
        <is>
          <t>Hornuggla
Grönfink
Entita
Rödvingetrast
Gröngöling</t>
        </is>
      </c>
      <c r="V3">
        <f>HYPERLINK("https://klasma.github.io/Logging_1384/artfynd/A 9526-2024 artfynd.xlsx", "A 9526-2024")</f>
        <v/>
      </c>
      <c r="W3">
        <f>HYPERLINK("https://klasma.github.io/Logging_1384/kartor/A 9526-2024 karta.png", "A 9526-2024")</f>
        <v/>
      </c>
      <c r="X3">
        <f>HYPERLINK("https://klasma.github.io/Logging_1384/kartor_geotiff/A 9526-2024 georefererad karta.tif", "A 9526-2024")</f>
        <v/>
      </c>
      <c r="Z3">
        <f>HYPERLINK("https://klasma.github.io/Logging_1384/klagomål/A 9526-2024 FSC-klagomål.docx", "A 9526-2024")</f>
        <v/>
      </c>
      <c r="AA3">
        <f>HYPERLINK("https://klasma.github.io/Logging_1384/klagomålsmail/A 9526-2024 FSC-klagomål mail.docx", "A 9526-2024")</f>
        <v/>
      </c>
      <c r="AB3">
        <f>HYPERLINK("https://klasma.github.io/Logging_1384/tillsyn/A 9526-2024 tillsynsbegäran.docx", "A 9526-2024")</f>
        <v/>
      </c>
      <c r="AC3">
        <f>HYPERLINK("https://klasma.github.io/Logging_1384/tillsynsmail/A 9526-2024 tillsynsbegäran mail.docx", "A 9526-2024")</f>
        <v/>
      </c>
      <c r="AD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46223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Grönsångare
Talltita
Spillkråka
Gröngöling
Svartvit flugsnappare</t>
        </is>
      </c>
      <c r="V4">
        <f>HYPERLINK("https://klasma.github.io/Logging_1384/artfynd/A 17981-2025 artfynd.xlsx", "A 17981-2025")</f>
        <v/>
      </c>
      <c r="W4">
        <f>HYPERLINK("https://klasma.github.io/Logging_1384/kartor/A 17981-2025 karta.png", "A 17981-2025")</f>
        <v/>
      </c>
      <c r="X4">
        <f>HYPERLINK("https://klasma.github.io/Logging_1384/kartor_geotiff/A 17981-2025 georefererad karta.tif", "A 17981-2025")</f>
        <v/>
      </c>
      <c r="Z4">
        <f>HYPERLINK("https://klasma.github.io/Logging_1384/klagomål/A 17981-2025 FSC-klagomål.docx", "A 17981-2025")</f>
        <v/>
      </c>
      <c r="AA4">
        <f>HYPERLINK("https://klasma.github.io/Logging_1384/klagomålsmail/A 17981-2025 FSC-klagomål mail.docx", "A 17981-2025")</f>
        <v/>
      </c>
      <c r="AB4">
        <f>HYPERLINK("https://klasma.github.io/Logging_1384/tillsyn/A 17981-2025 tillsynsbegäran.docx", "A 17981-2025")</f>
        <v/>
      </c>
      <c r="AC4">
        <f>HYPERLINK("https://klasma.github.io/Logging_1384/tillsynsmail/A 17981-2025 tillsynsbegäran mail.docx", "A 17981-2025")</f>
        <v/>
      </c>
      <c r="AD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Drillsnäppa
Barkkornlav
Guldlockmossa
Skogsduva</t>
        </is>
      </c>
      <c r="V5">
        <f>HYPERLINK("https://klasma.github.io/Logging_1384/artfynd/A 46459-2023 artfynd.xlsx", "A 46459-2023")</f>
        <v/>
      </c>
      <c r="W5">
        <f>HYPERLINK("https://klasma.github.io/Logging_1384/kartor/A 46459-2023 karta.png", "A 46459-2023")</f>
        <v/>
      </c>
      <c r="X5">
        <f>HYPERLINK("https://klasma.github.io/Logging_1384/kartor_geotiff/A 46459-2023 georefererad karta.tif", "A 46459-2023")</f>
        <v/>
      </c>
      <c r="Z5">
        <f>HYPERLINK("https://klasma.github.io/Logging_1384/klagomål/A 46459-2023 FSC-klagomål.docx", "A 46459-2023")</f>
        <v/>
      </c>
      <c r="AA5">
        <f>HYPERLINK("https://klasma.github.io/Logging_1384/klagomålsmail/A 46459-2023 FSC-klagomål mail.docx", "A 46459-2023")</f>
        <v/>
      </c>
      <c r="AB5">
        <f>HYPERLINK("https://klasma.github.io/Logging_1384/tillsyn/A 46459-2023 tillsynsbegäran.docx", "A 46459-2023")</f>
        <v/>
      </c>
      <c r="AC5">
        <f>HYPERLINK("https://klasma.github.io/Logging_1384/tillsynsmail/A 46459-2023 tillsynsbegäran mail.docx", "A 46459-2023")</f>
        <v/>
      </c>
      <c r="AD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46223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Nordfladdermus
Dvärgpipistrell
Vattenfladdermus</t>
        </is>
      </c>
      <c r="V6">
        <f>HYPERLINK("https://klasma.github.io/Logging_1384/artfynd/A 6417-2024 artfynd.xlsx", "A 6417-2024")</f>
        <v/>
      </c>
      <c r="W6">
        <f>HYPERLINK("https://klasma.github.io/Logging_1384/kartor/A 6417-2024 karta.png", "A 6417-2024")</f>
        <v/>
      </c>
      <c r="X6">
        <f>HYPERLINK("https://klasma.github.io/Logging_1384/kartor_geotiff/A 6417-2024 georefererad karta.tif", "A 6417-2024")</f>
        <v/>
      </c>
      <c r="Z6">
        <f>HYPERLINK("https://klasma.github.io/Logging_1384/klagomål/A 6417-2024 FSC-klagomål.docx", "A 6417-2024")</f>
        <v/>
      </c>
      <c r="AA6">
        <f>HYPERLINK("https://klasma.github.io/Logging_1384/klagomålsmail/A 6417-2024 FSC-klagomål mail.docx", "A 6417-2024")</f>
        <v/>
      </c>
      <c r="AB6">
        <f>HYPERLINK("https://klasma.github.io/Logging_1384/tillsyn/A 6417-2024 tillsynsbegäran.docx", "A 6417-2024")</f>
        <v/>
      </c>
      <c r="AC6">
        <f>HYPERLINK("https://klasma.github.io/Logging_1384/tillsynsmail/A 6417-2024 tillsynsbegäran mail.docx", "A 6417-2024")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46223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Blåsfliksmossa
Grov fjädermossa
Mussellav</t>
        </is>
      </c>
      <c r="V7">
        <f>HYPERLINK("https://klasma.github.io/Logging_1384/artfynd/A 65198-2023 artfynd.xlsx", "A 65198-2023")</f>
        <v/>
      </c>
      <c r="W7">
        <f>HYPERLINK("https://klasma.github.io/Logging_1384/kartor/A 65198-2023 karta.png", "A 65198-2023")</f>
        <v/>
      </c>
      <c r="X7">
        <f>HYPERLINK("https://klasma.github.io/Logging_1384/kartor_geotiff/A 65198-2023 georefererad karta.tif", "A 65198-2023")</f>
        <v/>
      </c>
      <c r="Z7">
        <f>HYPERLINK("https://klasma.github.io/Logging_1384/klagomål/A 65198-2023 FSC-klagomål.docx", "A 65198-2023")</f>
        <v/>
      </c>
      <c r="AA7">
        <f>HYPERLINK("https://klasma.github.io/Logging_1384/klagomålsmail/A 65198-2023 FSC-klagomål mail.docx", "A 65198-2023")</f>
        <v/>
      </c>
      <c r="AB7">
        <f>HYPERLINK("https://klasma.github.io/Logging_1384/tillsyn/A 65198-2023 tillsynsbegäran.docx", "A 65198-2023")</f>
        <v/>
      </c>
      <c r="AC7">
        <f>HYPERLINK("https://klasma.github.io/Logging_1384/tillsynsmail/A 65198-2023 tillsynsbegäran mail.docx", "A 65198-2023")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46223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Grönsångare
Mindre hackspett
Västlig hakmossa</t>
        </is>
      </c>
      <c r="V8">
        <f>HYPERLINK("https://klasma.github.io/Logging_1384/artfynd/A 58-2025 artfynd.xlsx", "A 58-2025")</f>
        <v/>
      </c>
      <c r="W8">
        <f>HYPERLINK("https://klasma.github.io/Logging_1384/kartor/A 58-2025 karta.png", "A 58-2025")</f>
        <v/>
      </c>
      <c r="X8">
        <f>HYPERLINK("https://klasma.github.io/Logging_1384/kartor_geotiff/A 58-2025 georefererad karta.tif", "A 58-2025")</f>
        <v/>
      </c>
      <c r="Z8">
        <f>HYPERLINK("https://klasma.github.io/Logging_1384/klagomål/A 58-2025 FSC-klagomål.docx", "A 58-2025")</f>
        <v/>
      </c>
      <c r="AA8">
        <f>HYPERLINK("https://klasma.github.io/Logging_1384/klagomålsmail/A 58-2025 FSC-klagomål mail.docx", "A 58-2025")</f>
        <v/>
      </c>
      <c r="AB8">
        <f>HYPERLINK("https://klasma.github.io/Logging_1384/tillsyn/A 58-2025 tillsynsbegäran.docx", "A 58-2025")</f>
        <v/>
      </c>
      <c r="AC8">
        <f>HYPERLINK("https://klasma.github.io/Logging_1384/tillsynsmail/A 58-2025 tillsynsbegäran mail.docx", "A 58-2025")</f>
        <v/>
      </c>
      <c r="AD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46223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Entita
Grönsångare
Svartvit flugsnappare</t>
        </is>
      </c>
      <c r="V9">
        <f>HYPERLINK("https://klasma.github.io/Logging_1384/artfynd/A 13374-2022 artfynd.xlsx", "A 13374-2022")</f>
        <v/>
      </c>
      <c r="W9">
        <f>HYPERLINK("https://klasma.github.io/Logging_1384/kartor/A 13374-2022 karta.png", "A 13374-2022")</f>
        <v/>
      </c>
      <c r="X9">
        <f>HYPERLINK("https://klasma.github.io/Logging_1384/kartor_geotiff/A 13374-2022 georefererad karta.tif", "A 13374-2022")</f>
        <v/>
      </c>
      <c r="Z9">
        <f>HYPERLINK("https://klasma.github.io/Logging_1384/klagomål/A 13374-2022 FSC-klagomål.docx", "A 13374-2022")</f>
        <v/>
      </c>
      <c r="AA9">
        <f>HYPERLINK("https://klasma.github.io/Logging_1384/klagomålsmail/A 13374-2022 FSC-klagomål mail.docx", "A 13374-2022")</f>
        <v/>
      </c>
      <c r="AB9">
        <f>HYPERLINK("https://klasma.github.io/Logging_1384/tillsyn/A 13374-2022 tillsynsbegäran.docx", "A 13374-2022")</f>
        <v/>
      </c>
      <c r="AC9">
        <f>HYPERLINK("https://klasma.github.io/Logging_1384/tillsynsmail/A 13374-2022 tillsynsbegäran mail.docx", "A 13374-2022")</f>
        <v/>
      </c>
      <c r="AD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46223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Murgröna
Blåsippa</t>
        </is>
      </c>
      <c r="V10">
        <f>HYPERLINK("https://klasma.github.io/Logging_1384/artfynd/A 46251-2024 artfynd.xlsx", "A 46251-2024")</f>
        <v/>
      </c>
      <c r="W10">
        <f>HYPERLINK("https://klasma.github.io/Logging_1384/kartor/A 46251-2024 karta.png", "A 46251-2024")</f>
        <v/>
      </c>
      <c r="X10">
        <f>HYPERLINK("https://klasma.github.io/Logging_1384/kartor_geotiff/A 46251-2024 georefererad karta.tif", "A 46251-2024")</f>
        <v/>
      </c>
      <c r="Z10">
        <f>HYPERLINK("https://klasma.github.io/Logging_1384/klagomål/A 46251-2024 FSC-klagomål.docx", "A 46251-2024")</f>
        <v/>
      </c>
      <c r="AA10">
        <f>HYPERLINK("https://klasma.github.io/Logging_1384/klagomålsmail/A 46251-2024 FSC-klagomål mail.docx", "A 46251-2024")</f>
        <v/>
      </c>
      <c r="AB10">
        <f>HYPERLINK("https://klasma.github.io/Logging_1384/tillsyn/A 46251-2024 tillsynsbegäran.docx", "A 46251-2024")</f>
        <v/>
      </c>
      <c r="AC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46223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s="2" t="inlineStr">
        <is>
          <t>Järnek
Igelkott</t>
        </is>
      </c>
      <c r="V11">
        <f>HYPERLINK("https://klasma.github.io/Logging_1384/artfynd/A 18160-2026 artfynd.xlsx", "A 18160-2026")</f>
        <v/>
      </c>
      <c r="W11">
        <f>HYPERLINK("https://klasma.github.io/Logging_1384/kartor/A 18160-2026 karta.png", "A 18160-2026")</f>
        <v/>
      </c>
      <c r="X11">
        <f>HYPERLINK("https://klasma.github.io/Logging_1384/kartor_geotiff/A 18160-2026 georefererad karta.tif", "A 18160-2026")</f>
        <v/>
      </c>
      <c r="Z11">
        <f>HYPERLINK("https://klasma.github.io/Logging_1384/klagomål/A 18160-2026 FSC-klagomål.docx", "A 18160-2026")</f>
        <v/>
      </c>
      <c r="AA11">
        <f>HYPERLINK("https://klasma.github.io/Logging_1384/klagomålsmail/A 18160-2026 FSC-klagomål mail.docx", "A 18160-2026")</f>
        <v/>
      </c>
      <c r="AB11">
        <f>HYPERLINK("https://klasma.github.io/Logging_1384/tillsyn/A 18160-2026 tillsynsbegäran.docx", "A 18160-2026")</f>
        <v/>
      </c>
      <c r="AC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46223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Nordfladdermus
Dvärgpipistrell</t>
        </is>
      </c>
      <c r="V12">
        <f>HYPERLINK("https://klasma.github.io/Logging_1384/artfynd/A 15096-2025 artfynd.xlsx", "A 15096-2025")</f>
        <v/>
      </c>
      <c r="W12">
        <f>HYPERLINK("https://klasma.github.io/Logging_1384/kartor/A 15096-2025 karta.png", "A 15096-2025")</f>
        <v/>
      </c>
      <c r="X12">
        <f>HYPERLINK("https://klasma.github.io/Logging_1384/kartor_geotiff/A 15096-2025 georefererad karta.tif", "A 15096-2025")</f>
        <v/>
      </c>
      <c r="Z12">
        <f>HYPERLINK("https://klasma.github.io/Logging_1384/klagomål/A 15096-2025 FSC-klagomål.docx", "A 15096-2025")</f>
        <v/>
      </c>
      <c r="AA12">
        <f>HYPERLINK("https://klasma.github.io/Logging_1384/klagomålsmail/A 15096-2025 FSC-klagomål mail.docx", "A 15096-2025")</f>
        <v/>
      </c>
      <c r="AB12">
        <f>HYPERLINK("https://klasma.github.io/Logging_1384/tillsyn/A 15096-2025 tillsynsbegäran.docx", "A 15096-2025")</f>
        <v/>
      </c>
      <c r="AC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46223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Tjäder
Kungsfågel</t>
        </is>
      </c>
      <c r="V13">
        <f>HYPERLINK("https://klasma.github.io/Logging_1384/artfynd/A 36068-2023 artfynd.xlsx", "A 36068-2023")</f>
        <v/>
      </c>
      <c r="W13">
        <f>HYPERLINK("https://klasma.github.io/Logging_1384/kartor/A 36068-2023 karta.png", "A 36068-2023")</f>
        <v/>
      </c>
      <c r="X13">
        <f>HYPERLINK("https://klasma.github.io/Logging_1384/kartor_geotiff/A 36068-2023 georefererad karta.tif", "A 36068-2023")</f>
        <v/>
      </c>
      <c r="Z13">
        <f>HYPERLINK("https://klasma.github.io/Logging_1384/klagomål/A 36068-2023 FSC-klagomål.docx", "A 36068-2023")</f>
        <v/>
      </c>
      <c r="AA13">
        <f>HYPERLINK("https://klasma.github.io/Logging_1384/klagomålsmail/A 36068-2023 FSC-klagomål mail.docx", "A 36068-2023")</f>
        <v/>
      </c>
      <c r="AB13">
        <f>HYPERLINK("https://klasma.github.io/Logging_1384/tillsyn/A 36068-2023 tillsynsbegäran.docx", "A 36068-2023")</f>
        <v/>
      </c>
      <c r="AC13">
        <f>HYPERLINK("https://klasma.github.io/Logging_1384/tillsynsmail/A 36068-2023 tillsynsbegäran mail.docx", "A 36068-2023")</f>
        <v/>
      </c>
      <c r="AD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Fläcknycklar</t>
        </is>
      </c>
      <c r="V14">
        <f>HYPERLINK("https://klasma.github.io/Logging_1384/artfynd/A 52318-2022 artfynd.xlsx", "A 52318-2022")</f>
        <v/>
      </c>
      <c r="W14">
        <f>HYPERLINK("https://klasma.github.io/Logging_1384/kartor/A 52318-2022 karta.png", "A 52318-2022")</f>
        <v/>
      </c>
      <c r="X14">
        <f>HYPERLINK("https://klasma.github.io/Logging_1384/kartor_geotiff/A 52318-2022 georefererad karta.tif", "A 52318-2022")</f>
        <v/>
      </c>
      <c r="Z14">
        <f>HYPERLINK("https://klasma.github.io/Logging_1384/klagomål/A 52318-2022 FSC-klagomål.docx", "A 52318-2022")</f>
        <v/>
      </c>
      <c r="AA14">
        <f>HYPERLINK("https://klasma.github.io/Logging_1384/klagomålsmail/A 52318-2022 FSC-klagomål mail.docx", "A 52318-2022")</f>
        <v/>
      </c>
      <c r="AB14">
        <f>HYPERLINK("https://klasma.github.io/Logging_1384/tillsyn/A 52318-2022 tillsynsbegäran.docx", "A 52318-2022")</f>
        <v/>
      </c>
      <c r="AC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Revlummer</t>
        </is>
      </c>
      <c r="V15">
        <f>HYPERLINK("https://klasma.github.io/Logging_1384/artfynd/A 13434-2022 artfynd.xlsx", "A 13434-2022")</f>
        <v/>
      </c>
      <c r="W15">
        <f>HYPERLINK("https://klasma.github.io/Logging_1384/kartor/A 13434-2022 karta.png", "A 13434-2022")</f>
        <v/>
      </c>
      <c r="X15">
        <f>HYPERLINK("https://klasma.github.io/Logging_1384/kartor_geotiff/A 13434-2022 georefererad karta.tif", "A 13434-2022")</f>
        <v/>
      </c>
      <c r="Z15">
        <f>HYPERLINK("https://klasma.github.io/Logging_1384/klagomål/A 13434-2022 FSC-klagomål.docx", "A 13434-2022")</f>
        <v/>
      </c>
      <c r="AA15">
        <f>HYPERLINK("https://klasma.github.io/Logging_1384/klagomålsmail/A 13434-2022 FSC-klagomål mail.docx", "A 13434-2022")</f>
        <v/>
      </c>
      <c r="AB15">
        <f>HYPERLINK("https://klasma.github.io/Logging_1384/tillsyn/A 13434-2022 tillsynsbegäran.docx", "A 13434-2022")</f>
        <v/>
      </c>
      <c r="AC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HYPERLINK("https://klasma.github.io/Logging_1384/artfynd/A 64129-2021 artfynd.xlsx", "A 64129-2021")</f>
        <v/>
      </c>
      <c r="W16">
        <f>HYPERLINK("https://klasma.github.io/Logging_1384/kartor/A 64129-2021 karta.png", "A 64129-2021")</f>
        <v/>
      </c>
      <c r="X16">
        <f>HYPERLINK("https://klasma.github.io/Logging_1384/kartor_geotiff/A 64129-2021 georefererad karta.tif", "A 64129-2021")</f>
        <v/>
      </c>
      <c r="Z16">
        <f>HYPERLINK("https://klasma.github.io/Logging_1384/klagomål/A 64129-2021 FSC-klagomål.docx", "A 64129-2021")</f>
        <v/>
      </c>
      <c r="AA16">
        <f>HYPERLINK("https://klasma.github.io/Logging_1384/klagomålsmail/A 64129-2021 FSC-klagomål mail.docx", "A 64129-2021")</f>
        <v/>
      </c>
      <c r="AB16">
        <f>HYPERLINK("https://klasma.github.io/Logging_1384/tillsyn/A 64129-2021 tillsynsbegäran.docx", "A 64129-2021")</f>
        <v/>
      </c>
      <c r="AC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46223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Blåsippa</t>
        </is>
      </c>
      <c r="V17">
        <f>HYPERLINK("https://klasma.github.io/Logging_1384/artfynd/A 13932-2025 artfynd.xlsx", "A 13932-2025")</f>
        <v/>
      </c>
      <c r="W17">
        <f>HYPERLINK("https://klasma.github.io/Logging_1384/kartor/A 13932-2025 karta.png", "A 13932-2025")</f>
        <v/>
      </c>
      <c r="X17">
        <f>HYPERLINK("https://klasma.github.io/Logging_1384/kartor_geotiff/A 13932-2025 georefererad karta.tif", "A 13932-2025")</f>
        <v/>
      </c>
      <c r="Z17">
        <f>HYPERLINK("https://klasma.github.io/Logging_1384/klagomål/A 13932-2025 FSC-klagomål.docx", "A 13932-2025")</f>
        <v/>
      </c>
      <c r="AA17">
        <f>HYPERLINK("https://klasma.github.io/Logging_1384/klagomålsmail/A 13932-2025 FSC-klagomål mail.docx", "A 13932-2025")</f>
        <v/>
      </c>
      <c r="AB17">
        <f>HYPERLINK("https://klasma.github.io/Logging_1384/tillsyn/A 13932-2025 tillsynsbegäran.docx", "A 13932-2025")</f>
        <v/>
      </c>
      <c r="AC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46223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Havsörn</t>
        </is>
      </c>
      <c r="V18">
        <f>HYPERLINK("https://klasma.github.io/Logging_1384/artfynd/A 16076-2025 artfynd.xlsx", "A 16076-2025")</f>
        <v/>
      </c>
      <c r="W18">
        <f>HYPERLINK("https://klasma.github.io/Logging_1384/kartor/A 16076-2025 karta.png", "A 16076-2025")</f>
        <v/>
      </c>
      <c r="X18">
        <f>HYPERLINK("https://klasma.github.io/Logging_1384/kartor_geotiff/A 16076-2025 georefererad karta.tif", "A 16076-2025")</f>
        <v/>
      </c>
      <c r="Z18">
        <f>HYPERLINK("https://klasma.github.io/Logging_1384/klagomål/A 16076-2025 FSC-klagomål.docx", "A 16076-2025")</f>
        <v/>
      </c>
      <c r="AA18">
        <f>HYPERLINK("https://klasma.github.io/Logging_1384/klagomålsmail/A 16076-2025 FSC-klagomål mail.docx", "A 16076-2025")</f>
        <v/>
      </c>
      <c r="AB18">
        <f>HYPERLINK("https://klasma.github.io/Logging_1384/tillsyn/A 16076-2025 tillsynsbegäran.docx", "A 16076-2025")</f>
        <v/>
      </c>
      <c r="AC18">
        <f>HYPERLINK("https://klasma.github.io/Logging_1384/tillsynsmail/A 16076-2025 tillsynsbegäran mail.docx", "A 16076-2025")</f>
        <v/>
      </c>
      <c r="AD18">
        <f>HYPERLINK("https://klasma.github.io/Logging_1384/fåglar/A 16076-2025 prioriterade fågelarter.docx", "A 16076-2025")</f>
        <v/>
      </c>
    </row>
    <row r="19" ht="15" customHeight="1">
      <c r="A19" t="inlineStr">
        <is>
          <t>A 11010-2025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45723</v>
      </c>
      <c r="E19" s="1" t="n">
        <v>46223</v>
      </c>
      <c r="F19" t="inlineStr">
        <is>
          <t>HALLANDS LÄN</t>
        </is>
      </c>
      <c r="G19" t="inlineStr">
        <is>
          <t>KUNGSBACKA</t>
        </is>
      </c>
      <c r="I19" t="n">
        <v>12.4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Kambräken</t>
        </is>
      </c>
      <c r="V19">
        <f>HYPERLINK("https://klasma.github.io/Logging_1384/artfynd/A 11010-2025 artfynd.xlsx", "A 11010-2025")</f>
        <v/>
      </c>
      <c r="W19">
        <f>HYPERLINK("https://klasma.github.io/Logging_1384/kartor/A 11010-2025 karta.png", "A 11010-2025")</f>
        <v/>
      </c>
      <c r="X19">
        <f>HYPERLINK("https://klasma.github.io/Logging_1384/kartor_geotiff/A 11010-2025 georefererad karta.tif", "A 11010-2025")</f>
        <v/>
      </c>
      <c r="Z19">
        <f>HYPERLINK("https://klasma.github.io/Logging_1384/klagomål/A 11010-2025 FSC-klagomål.docx", "A 11010-2025")</f>
        <v/>
      </c>
      <c r="AA19">
        <f>HYPERLINK("https://klasma.github.io/Logging_1384/klagomålsmail/A 11010-2025 FSC-klagomål mail.docx", "A 11010-2025")</f>
        <v/>
      </c>
      <c r="AB19">
        <f>HYPERLINK("https://klasma.github.io/Logging_1384/tillsyn/A 11010-2025 tillsynsbegäran.docx", "A 11010-2025")</f>
        <v/>
      </c>
      <c r="AC19">
        <f>HYPERLINK("https://klasma.github.io/Logging_1384/tillsynsmail/A 11010-2025 tillsynsbegäran mail.docx", "A 11010-2025")</f>
        <v/>
      </c>
    </row>
    <row r="20" ht="15" customHeight="1">
      <c r="A20" t="inlineStr">
        <is>
          <t>A 44638-2022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44840</v>
      </c>
      <c r="E20" s="1" t="n">
        <v>46223</v>
      </c>
      <c r="F20" t="inlineStr">
        <is>
          <t>HALLANDS LÄN</t>
        </is>
      </c>
      <c r="G20" t="inlineStr">
        <is>
          <t>KUNGSBACKA</t>
        </is>
      </c>
      <c r="H20" t="inlineStr">
        <is>
          <t>Kommuner</t>
        </is>
      </c>
      <c r="I20" t="n">
        <v>11.8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Spillkråka</t>
        </is>
      </c>
      <c r="V20">
        <f>HYPERLINK("https://klasma.github.io/Logging_1384/artfynd/A 44638-2022 artfynd.xlsx", "A 44638-2022")</f>
        <v/>
      </c>
      <c r="W20">
        <f>HYPERLINK("https://klasma.github.io/Logging_1384/kartor/A 44638-2022 karta.png", "A 44638-2022")</f>
        <v/>
      </c>
      <c r="X20">
        <f>HYPERLINK("https://klasma.github.io/Logging_1384/kartor_geotiff/A 44638-2022 georefererad karta.tif", "A 44638-2022")</f>
        <v/>
      </c>
      <c r="Z20">
        <f>HYPERLINK("https://klasma.github.io/Logging_1384/klagomål/A 44638-2022 FSC-klagomål.docx", "A 44638-2022")</f>
        <v/>
      </c>
      <c r="AA20">
        <f>HYPERLINK("https://klasma.github.io/Logging_1384/klagomålsmail/A 44638-2022 FSC-klagomål mail.docx", "A 44638-2022")</f>
        <v/>
      </c>
      <c r="AB20">
        <f>HYPERLINK("https://klasma.github.io/Logging_1384/tillsyn/A 44638-2022 tillsynsbegäran.docx", "A 44638-2022")</f>
        <v/>
      </c>
      <c r="AC20">
        <f>HYPERLINK("https://klasma.github.io/Logging_1384/tillsynsmail/A 44638-2022 tillsynsbegäran mail.docx", "A 44638-2022")</f>
        <v/>
      </c>
      <c r="AD20">
        <f>HYPERLINK("https://klasma.github.io/Logging_1384/fåglar/A 44638-2022 prioriterade fågelarter.docx", "A 44638-2022")</f>
        <v/>
      </c>
    </row>
    <row r="21" ht="15" customHeight="1">
      <c r="A21" t="inlineStr">
        <is>
          <t>A 40024-2021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44418</v>
      </c>
      <c r="E21" s="1" t="n">
        <v>46223</v>
      </c>
      <c r="F21" t="inlineStr">
        <is>
          <t>HALLANDS LÄN</t>
        </is>
      </c>
      <c r="G21" t="inlineStr">
        <is>
          <t>KUNGSBACKA</t>
        </is>
      </c>
      <c r="I21" t="n">
        <v>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Duvhök</t>
        </is>
      </c>
      <c r="V21">
        <f>HYPERLINK("https://klasma.github.io/Logging_1384/artfynd/A 40024-2021 artfynd.xlsx", "A 40024-2021")</f>
        <v/>
      </c>
      <c r="W21">
        <f>HYPERLINK("https://klasma.github.io/Logging_1384/kartor/A 40024-2021 karta.png", "A 40024-2021")</f>
        <v/>
      </c>
      <c r="X21">
        <f>HYPERLINK("https://klasma.github.io/Logging_1384/kartor_geotiff/A 40024-2021 georefererad karta.tif", "A 40024-2021")</f>
        <v/>
      </c>
      <c r="Z21">
        <f>HYPERLINK("https://klasma.github.io/Logging_1384/klagomål/A 40024-2021 FSC-klagomål.docx", "A 40024-2021")</f>
        <v/>
      </c>
      <c r="AA21">
        <f>HYPERLINK("https://klasma.github.io/Logging_1384/klagomålsmail/A 40024-2021 FSC-klagomål mail.docx", "A 40024-2021")</f>
        <v/>
      </c>
      <c r="AB21">
        <f>HYPERLINK("https://klasma.github.io/Logging_1384/tillsyn/A 40024-2021 tillsynsbegäran.docx", "A 40024-2021")</f>
        <v/>
      </c>
      <c r="AC21">
        <f>HYPERLINK("https://klasma.github.io/Logging_1384/tillsynsmail/A 40024-2021 tillsynsbegäran mail.docx", "A 40024-2021")</f>
        <v/>
      </c>
      <c r="AD21">
        <f>HYPERLINK("https://klasma.github.io/Logging_1384/fåglar/A 40024-2021 prioriterade fågelarter.docx", "A 40024-2021")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46223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Järnek</t>
        </is>
      </c>
      <c r="V22">
        <f>HYPERLINK("https://klasma.github.io/Logging_1384/artfynd/A 18150-2026 artfynd.xlsx", "A 18150-2026")</f>
        <v/>
      </c>
      <c r="W22">
        <f>HYPERLINK("https://klasma.github.io/Logging_1384/kartor/A 18150-2026 karta.png", "A 18150-2026")</f>
        <v/>
      </c>
      <c r="X22">
        <f>HYPERLINK("https://klasma.github.io/Logging_1384/kartor_geotiff/A 18150-2026 georefererad karta.tif", "A 18150-2026")</f>
        <v/>
      </c>
      <c r="Z22">
        <f>HYPERLINK("https://klasma.github.io/Logging_1384/klagomål/A 18150-2026 FSC-klagomål.docx", "A 18150-2026")</f>
        <v/>
      </c>
      <c r="AA22">
        <f>HYPERLINK("https://klasma.github.io/Logging_1384/klagomålsmail/A 18150-2026 FSC-klagomål mail.docx", "A 18150-2026")</f>
        <v/>
      </c>
      <c r="AB22">
        <f>HYPERLINK("https://klasma.github.io/Logging_1384/tillsyn/A 18150-2026 tillsynsbegäran.docx", "A 18150-2026")</f>
        <v/>
      </c>
      <c r="AC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46223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HYPERLINK("https://klasma.github.io/Logging_1384/artfynd/A 7801-2025 artfynd.xlsx", "A 7801-2025")</f>
        <v/>
      </c>
      <c r="W23">
        <f>HYPERLINK("https://klasma.github.io/Logging_1384/kartor/A 7801-2025 karta.png", "A 7801-2025")</f>
        <v/>
      </c>
      <c r="X23">
        <f>HYPERLINK("https://klasma.github.io/Logging_1384/kartor_geotiff/A 7801-2025 georefererad karta.tif", "A 7801-2025")</f>
        <v/>
      </c>
      <c r="Z23">
        <f>HYPERLINK("https://klasma.github.io/Logging_1384/klagomål/A 7801-2025 FSC-klagomål.docx", "A 7801-2025")</f>
        <v/>
      </c>
      <c r="AA23">
        <f>HYPERLINK("https://klasma.github.io/Logging_1384/klagomålsmail/A 7801-2025 FSC-klagomål mail.docx", "A 7801-2025")</f>
        <v/>
      </c>
      <c r="AB23">
        <f>HYPERLINK("https://klasma.github.io/Logging_1384/tillsyn/A 7801-2025 tillsynsbegäran.docx", "A 7801-2025")</f>
        <v/>
      </c>
      <c r="AC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46223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Kambräken</t>
        </is>
      </c>
      <c r="V24">
        <f>HYPERLINK("https://klasma.github.io/Logging_1384/artfynd/A 3281-2025 artfynd.xlsx", "A 3281-2025")</f>
        <v/>
      </c>
      <c r="W24">
        <f>HYPERLINK("https://klasma.github.io/Logging_1384/kartor/A 3281-2025 karta.png", "A 3281-2025")</f>
        <v/>
      </c>
      <c r="X24">
        <f>HYPERLINK("https://klasma.github.io/Logging_1384/kartor_geotiff/A 3281-2025 georefererad karta.tif", "A 3281-2025")</f>
        <v/>
      </c>
      <c r="Z24">
        <f>HYPERLINK("https://klasma.github.io/Logging_1384/klagomål/A 3281-2025 FSC-klagomål.docx", "A 3281-2025")</f>
        <v/>
      </c>
      <c r="AA24">
        <f>HYPERLINK("https://klasma.github.io/Logging_1384/klagomålsmail/A 3281-2025 FSC-klagomål mail.docx", "A 3281-2025")</f>
        <v/>
      </c>
      <c r="AB24">
        <f>HYPERLINK("https://klasma.github.io/Logging_1384/tillsyn/A 3281-2025 tillsynsbegäran.docx", "A 3281-2025")</f>
        <v/>
      </c>
      <c r="AC24">
        <f>HYPERLINK("https://klasma.github.io/Logging_1384/tillsynsmail/A 3281-2025 tillsynsbegäran mail.docx", "A 3281-2025")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46223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HYPERLINK("https://klasma.github.io/Logging_1384/artfynd/A 21721-2023 artfynd.xlsx", "A 21721-2023")</f>
        <v/>
      </c>
      <c r="W25">
        <f>HYPERLINK("https://klasma.github.io/Logging_1384/kartor/A 21721-2023 karta.png", "A 21721-2023")</f>
        <v/>
      </c>
      <c r="X25">
        <f>HYPERLINK("https://klasma.github.io/Logging_1384/kartor_geotiff/A 21721-2023 georefererad karta.tif", "A 21721-2023")</f>
        <v/>
      </c>
      <c r="Y25">
        <f>HYPERLINK("https://klasma.github.io/Logging_1384/knärot/A 21721-2023 karta knärot.png", "A 21721-2023")</f>
        <v/>
      </c>
      <c r="Z25">
        <f>HYPERLINK("https://klasma.github.io/Logging_1384/klagomål/A 21721-2023 FSC-klagomål.docx", "A 21721-2023")</f>
        <v/>
      </c>
      <c r="AA25">
        <f>HYPERLINK("https://klasma.github.io/Logging_1384/klagomålsmail/A 21721-2023 FSC-klagomål mail.docx", "A 21721-2023")</f>
        <v/>
      </c>
      <c r="AB25">
        <f>HYPERLINK("https://klasma.github.io/Logging_1384/tillsyn/A 21721-2023 tillsynsbegäran.docx", "A 21721-2023")</f>
        <v/>
      </c>
      <c r="AC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46223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Blomkålssvamp</t>
        </is>
      </c>
      <c r="V26">
        <f>HYPERLINK("https://klasma.github.io/Logging_1384/artfynd/A 1765-2023 artfynd.xlsx", "A 1765-2023")</f>
        <v/>
      </c>
      <c r="W26">
        <f>HYPERLINK("https://klasma.github.io/Logging_1384/kartor/A 1765-2023 karta.png", "A 1765-2023")</f>
        <v/>
      </c>
      <c r="X26">
        <f>HYPERLINK("https://klasma.github.io/Logging_1384/kartor_geotiff/A 1765-2023 georefererad karta.tif", "A 1765-2023")</f>
        <v/>
      </c>
      <c r="Z26">
        <f>HYPERLINK("https://klasma.github.io/Logging_1384/klagomål/A 1765-2023 FSC-klagomål.docx", "A 1765-2023")</f>
        <v/>
      </c>
      <c r="AA26">
        <f>HYPERLINK("https://klasma.github.io/Logging_1384/klagomålsmail/A 1765-2023 FSC-klagomål mail.docx", "A 1765-2023")</f>
        <v/>
      </c>
      <c r="AB26">
        <f>HYPERLINK("https://klasma.github.io/Logging_1384/tillsyn/A 1765-2023 tillsynsbegäran.docx", "A 1765-2023")</f>
        <v/>
      </c>
      <c r="AC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46223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Stor aspticka</t>
        </is>
      </c>
      <c r="V27">
        <f>HYPERLINK("https://klasma.github.io/Logging_1384/artfynd/A 9548-2024 artfynd.xlsx", "A 9548-2024")</f>
        <v/>
      </c>
      <c r="W27">
        <f>HYPERLINK("https://klasma.github.io/Logging_1384/kartor/A 9548-2024 karta.png", "A 9548-2024")</f>
        <v/>
      </c>
      <c r="X27">
        <f>HYPERLINK("https://klasma.github.io/Logging_1384/kartor_geotiff/A 9548-2024 georefererad karta.tif", "A 9548-2024")</f>
        <v/>
      </c>
      <c r="Z27">
        <f>HYPERLINK("https://klasma.github.io/Logging_1384/klagomål/A 9548-2024 FSC-klagomål.docx", "A 9548-2024")</f>
        <v/>
      </c>
      <c r="AA27">
        <f>HYPERLINK("https://klasma.github.io/Logging_1384/klagomålsmail/A 9548-2024 FSC-klagomål mail.docx", "A 9548-2024")</f>
        <v/>
      </c>
      <c r="AB27">
        <f>HYPERLINK("https://klasma.github.io/Logging_1384/tillsyn/A 9548-2024 tillsynsbegäran.docx", "A 9548-2024")</f>
        <v/>
      </c>
      <c r="AC27">
        <f>HYPERLINK("https://klasma.github.io/Logging_1384/tillsynsmail/A 9548-2024 tillsynsbegäran mail.docx", "A 9548-2024")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46223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46223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46223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46223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46223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46223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46223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46223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46223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46223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46223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46223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46223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46223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46223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46223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46223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46223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46223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46223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46223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39418-2021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46223</v>
      </c>
      <c r="F49" t="inlineStr">
        <is>
          <t>HALLANDS LÄN</t>
        </is>
      </c>
      <c r="G49" t="inlineStr">
        <is>
          <t>KUNGSBACKA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46223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30901-2022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46223</v>
      </c>
      <c r="F51" t="inlineStr">
        <is>
          <t>HALLANDS LÄN</t>
        </is>
      </c>
      <c r="G51" t="inlineStr">
        <is>
          <t>KUNGSBACKA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20750-2024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46223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62742-2022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44925</v>
      </c>
      <c r="E53" s="1" t="n">
        <v>46223</v>
      </c>
      <c r="F53" t="inlineStr">
        <is>
          <t>HALLANDS LÄN</t>
        </is>
      </c>
      <c r="G53" t="inlineStr">
        <is>
          <t>KUNGSBACKA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53051-2021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46223</v>
      </c>
      <c r="F54" t="inlineStr">
        <is>
          <t>HALLANDS LÄN</t>
        </is>
      </c>
      <c r="G54" t="inlineStr">
        <is>
          <t>KUNGSBACKA</t>
        </is>
      </c>
      <c r="H54" t="inlineStr">
        <is>
          <t>Kommuner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31293-2024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45504</v>
      </c>
      <c r="E55" s="1" t="n">
        <v>46223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52909-2021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44467</v>
      </c>
      <c r="E56" s="1" t="n">
        <v>46223</v>
      </c>
      <c r="F56" t="inlineStr">
        <is>
          <t>HALLANDS LÄN</t>
        </is>
      </c>
      <c r="G56" t="inlineStr">
        <is>
          <t>KUNGSBACKA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46223</v>
      </c>
      <c r="F57" t="inlineStr">
        <is>
          <t>HALLANDS LÄN</t>
        </is>
      </c>
      <c r="G57" t="inlineStr">
        <is>
          <t>KUNGSBACKA</t>
        </is>
      </c>
      <c r="I57" t="n">
        <v>19.2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46223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44971</v>
      </c>
      <c r="E59" s="1" t="n">
        <v>46223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35808-2024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46223</v>
      </c>
      <c r="F60" t="inlineStr">
        <is>
          <t>HALLANDS LÄN</t>
        </is>
      </c>
      <c r="G60" t="inlineStr">
        <is>
          <t>KUNGSBACKA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35811-2024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46223</v>
      </c>
      <c r="F61" t="inlineStr">
        <is>
          <t>HALLANDS LÄN</t>
        </is>
      </c>
      <c r="G61" t="inlineStr">
        <is>
          <t>KUNGSBACKA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58118-2021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46223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46223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61739-2023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45265</v>
      </c>
      <c r="E64" s="1" t="n">
        <v>46223</v>
      </c>
      <c r="F64" t="inlineStr">
        <is>
          <t>HALLANDS LÄN</t>
        </is>
      </c>
      <c r="G64" t="inlineStr">
        <is>
          <t>KUNGSBACKA</t>
        </is>
      </c>
      <c r="I64" t="n">
        <v>13.8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11958-2023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46223</v>
      </c>
      <c r="F65" t="inlineStr">
        <is>
          <t>HALLANDS LÄN</t>
        </is>
      </c>
      <c r="G65" t="inlineStr">
        <is>
          <t>KUNGSBACKA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57790-2022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44897</v>
      </c>
      <c r="E66" s="1" t="n">
        <v>46223</v>
      </c>
      <c r="F66" t="inlineStr">
        <is>
          <t>HALLANDS LÄN</t>
        </is>
      </c>
      <c r="G66" t="inlineStr">
        <is>
          <t>KUNGSBACKA</t>
        </is>
      </c>
      <c r="I66" t="n">
        <v>18.8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11432-2025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46223</v>
      </c>
      <c r="F67" t="inlineStr">
        <is>
          <t>HALLANDS LÄN</t>
        </is>
      </c>
      <c r="G67" t="inlineStr">
        <is>
          <t>KUNGSBACKA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62743-2022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44925</v>
      </c>
      <c r="E68" s="1" t="n">
        <v>46223</v>
      </c>
      <c r="F68" t="inlineStr">
        <is>
          <t>HALLANDS LÄN</t>
        </is>
      </c>
      <c r="G68" t="inlineStr">
        <is>
          <t>KUNGSBACKA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32030-2024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45510</v>
      </c>
      <c r="E69" s="1" t="n">
        <v>46223</v>
      </c>
      <c r="F69" t="inlineStr">
        <is>
          <t>HALLANDS LÄN</t>
        </is>
      </c>
      <c r="G69" t="inlineStr">
        <is>
          <t>KUNGSBACKA</t>
        </is>
      </c>
      <c r="H69" t="inlineStr">
        <is>
          <t>Kyrkan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46223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20828-2025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46223</v>
      </c>
      <c r="F71" t="inlineStr">
        <is>
          <t>HALLANDS LÄN</t>
        </is>
      </c>
      <c r="G71" t="inlineStr">
        <is>
          <t>KUNGSBACKA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27977-2025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46223</v>
      </c>
      <c r="F72" t="inlineStr">
        <is>
          <t>HALLANDS LÄN</t>
        </is>
      </c>
      <c r="G72" t="inlineStr">
        <is>
          <t>KUNGSBACKA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45888</v>
      </c>
      <c r="E73" s="1" t="n">
        <v>46223</v>
      </c>
      <c r="F73" t="inlineStr">
        <is>
          <t>HALLANDS LÄN</t>
        </is>
      </c>
      <c r="G73" t="inlineStr">
        <is>
          <t>KUNGSBACKA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46223</v>
      </c>
      <c r="F74" t="inlineStr">
        <is>
          <t>HALLANDS LÄN</t>
        </is>
      </c>
      <c r="G74" t="inlineStr">
        <is>
          <t>KUNGSBACKA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28900-2025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46223</v>
      </c>
      <c r="F75" t="inlineStr">
        <is>
          <t>HALLANDS LÄN</t>
        </is>
      </c>
      <c r="G75" t="inlineStr">
        <is>
          <t>KUNGSBACKA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52317-2022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46223</v>
      </c>
      <c r="F76" t="inlineStr">
        <is>
          <t>HALLANDS LÄN</t>
        </is>
      </c>
      <c r="G76" t="inlineStr">
        <is>
          <t>KUNGSBACKA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46223</v>
      </c>
      <c r="F77" t="inlineStr">
        <is>
          <t>HALLANDS LÄN</t>
        </is>
      </c>
      <c r="G77" t="inlineStr">
        <is>
          <t>KUNGSBACKA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39295-2025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46223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39486-2025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46223</v>
      </c>
      <c r="F79" t="inlineStr">
        <is>
          <t>HALLANDS LÄN</t>
        </is>
      </c>
      <c r="G79" t="inlineStr">
        <is>
          <t>KUNGSBACKA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46223</v>
      </c>
      <c r="F80" t="inlineStr">
        <is>
          <t>HALLANDS LÄN</t>
        </is>
      </c>
      <c r="G80" t="inlineStr">
        <is>
          <t>KUNGSBACKA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46223</v>
      </c>
      <c r="F81" t="inlineStr">
        <is>
          <t>HALLANDS LÄN</t>
        </is>
      </c>
      <c r="G81" t="inlineStr">
        <is>
          <t>KUNGSBACKA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19502-2022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46223</v>
      </c>
      <c r="F82" t="inlineStr">
        <is>
          <t>HALLANDS LÄN</t>
        </is>
      </c>
      <c r="G82" t="inlineStr">
        <is>
          <t>KUNGSBACKA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57709-2023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46223</v>
      </c>
      <c r="F83" t="inlineStr">
        <is>
          <t>HALLANDS LÄN</t>
        </is>
      </c>
      <c r="G83" t="inlineStr">
        <is>
          <t>KUNGSBACKA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10269-2023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46223</v>
      </c>
      <c r="F84" t="inlineStr">
        <is>
          <t>HALLANDS LÄN</t>
        </is>
      </c>
      <c r="G84" t="inlineStr">
        <is>
          <t>KUNGSBACKA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43655-2025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46223</v>
      </c>
      <c r="F85" t="inlineStr">
        <is>
          <t>HALLANDS LÄN</t>
        </is>
      </c>
      <c r="G85" t="inlineStr">
        <is>
          <t>KUNGSBACKA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46052</v>
      </c>
      <c r="E86" s="1" t="n">
        <v>46223</v>
      </c>
      <c r="F86" t="inlineStr">
        <is>
          <t>HALLANDS LÄN</t>
        </is>
      </c>
      <c r="G86" t="inlineStr">
        <is>
          <t>KUNGSBACKA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32894-2025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46223</v>
      </c>
      <c r="F87" t="inlineStr">
        <is>
          <t>HALLANDS LÄN</t>
        </is>
      </c>
      <c r="G87" t="inlineStr">
        <is>
          <t>KUNGSBACKA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45845</v>
      </c>
      <c r="E88" s="1" t="n">
        <v>46223</v>
      </c>
      <c r="F88" t="inlineStr">
        <is>
          <t>HALLANDS LÄN</t>
        </is>
      </c>
      <c r="G88" t="inlineStr">
        <is>
          <t>KUNGSBACKA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34360-2025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46223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30996-2023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46223</v>
      </c>
      <c r="F90" t="inlineStr">
        <is>
          <t>HALLANDS LÄN</t>
        </is>
      </c>
      <c r="G90" t="inlineStr">
        <is>
          <t>KUNGSBACKA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46223</v>
      </c>
      <c r="F91" t="inlineStr">
        <is>
          <t>HALLANDS LÄN</t>
        </is>
      </c>
      <c r="G91" t="inlineStr">
        <is>
          <t>KUNGSBACKA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45631-2025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46223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34782-2025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45848</v>
      </c>
      <c r="E93" s="1" t="n">
        <v>46223</v>
      </c>
      <c r="F93" t="inlineStr">
        <is>
          <t>HALLANDS LÄN</t>
        </is>
      </c>
      <c r="G93" t="inlineStr">
        <is>
          <t>KUNGSBACKA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45632-2025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46223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45639-2025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46223</v>
      </c>
      <c r="F95" t="inlineStr">
        <is>
          <t>HALLANDS LÄN</t>
        </is>
      </c>
      <c r="G95" t="inlineStr">
        <is>
          <t>KUNGSBACKA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34660-2025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45848</v>
      </c>
      <c r="E96" s="1" t="n">
        <v>46223</v>
      </c>
      <c r="F96" t="inlineStr">
        <is>
          <t>HALLANDS LÄN</t>
        </is>
      </c>
      <c r="G96" t="inlineStr">
        <is>
          <t>KUNGSBACKA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44967</v>
      </c>
      <c r="E97" s="1" t="n">
        <v>46223</v>
      </c>
      <c r="F97" t="inlineStr">
        <is>
          <t>HALLANDS LÄN</t>
        </is>
      </c>
      <c r="G97" t="inlineStr">
        <is>
          <t>KUNGSBACKA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34975-2025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45849</v>
      </c>
      <c r="E98" s="1" t="n">
        <v>46223</v>
      </c>
      <c r="F98" t="inlineStr">
        <is>
          <t>HALLANDS LÄN</t>
        </is>
      </c>
      <c r="G98" t="inlineStr">
        <is>
          <t>KUNGSBACKA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14052-2023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45008</v>
      </c>
      <c r="E99" s="1" t="n">
        <v>46223</v>
      </c>
      <c r="F99" t="inlineStr">
        <is>
          <t>HALLANDS LÄN</t>
        </is>
      </c>
      <c r="G99" t="inlineStr">
        <is>
          <t>KUNGSBACKA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46054</v>
      </c>
      <c r="E100" s="1" t="n">
        <v>46223</v>
      </c>
      <c r="F100" t="inlineStr">
        <is>
          <t>HALLANDS LÄN</t>
        </is>
      </c>
      <c r="G100" t="inlineStr">
        <is>
          <t>KUNGSBACKA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35399-2025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46223</v>
      </c>
      <c r="F101" t="inlineStr">
        <is>
          <t>HALLANDS LÄN</t>
        </is>
      </c>
      <c r="G101" t="inlineStr">
        <is>
          <t>KUNGSBACKA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47452-2025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46223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46054</v>
      </c>
      <c r="E103" s="1" t="n">
        <v>46223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46054</v>
      </c>
      <c r="E104" s="1" t="n">
        <v>46223</v>
      </c>
      <c r="F104" t="inlineStr">
        <is>
          <t>HALLANDS LÄN</t>
        </is>
      </c>
      <c r="G104" t="inlineStr">
        <is>
          <t>KUNGSBACKA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35801-2025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45861</v>
      </c>
      <c r="E105" s="1" t="n">
        <v>46223</v>
      </c>
      <c r="F105" t="inlineStr">
        <is>
          <t>HALLANDS LÄN</t>
        </is>
      </c>
      <c r="G105" t="inlineStr">
        <is>
          <t>KUNGSBACKA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35898-2025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46223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18179-2025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46223</v>
      </c>
      <c r="F107" t="inlineStr">
        <is>
          <t>HALLANDS LÄN</t>
        </is>
      </c>
      <c r="G107" t="inlineStr">
        <is>
          <t>KUNGSBACKA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7810-2025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46223</v>
      </c>
      <c r="F108" t="inlineStr">
        <is>
          <t>HALLANDS LÄN</t>
        </is>
      </c>
      <c r="G108" t="inlineStr">
        <is>
          <t>KUNGSBACKA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24964-2024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45461</v>
      </c>
      <c r="E109" s="1" t="n">
        <v>46223</v>
      </c>
      <c r="F109" t="inlineStr">
        <is>
          <t>HALLANDS LÄN</t>
        </is>
      </c>
      <c r="G109" t="inlineStr">
        <is>
          <t>KUNGSBACKA</t>
        </is>
      </c>
      <c r="H109" t="inlineStr">
        <is>
          <t>Kommuner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28574-2024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46223</v>
      </c>
      <c r="F110" t="inlineStr">
        <is>
          <t>HALLANDS LÄN</t>
        </is>
      </c>
      <c r="G110" t="inlineStr">
        <is>
          <t>KUNGSBACKA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7709-2025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46223</v>
      </c>
      <c r="F111" t="inlineStr">
        <is>
          <t>HALLANDS LÄN</t>
        </is>
      </c>
      <c r="G111" t="inlineStr">
        <is>
          <t>KUNGSBACKA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45706</v>
      </c>
      <c r="E112" s="1" t="n">
        <v>46223</v>
      </c>
      <c r="F112" t="inlineStr">
        <is>
          <t>HALLANDS LÄN</t>
        </is>
      </c>
      <c r="G112" t="inlineStr">
        <is>
          <t>KUNGSBACKA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34620-2025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46223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36770-2025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46223</v>
      </c>
      <c r="F114" t="inlineStr">
        <is>
          <t>HALLANDS LÄN</t>
        </is>
      </c>
      <c r="G114" t="inlineStr">
        <is>
          <t>KUNGSBACKA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28583-2024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45478</v>
      </c>
      <c r="E115" s="1" t="n">
        <v>46223</v>
      </c>
      <c r="F115" t="inlineStr">
        <is>
          <t>HALLANDS LÄN</t>
        </is>
      </c>
      <c r="G115" t="inlineStr">
        <is>
          <t>KUNGSBACKA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45337</v>
      </c>
      <c r="E116" s="1" t="n">
        <v>46223</v>
      </c>
      <c r="F116" t="inlineStr">
        <is>
          <t>HALLANDS LÄN</t>
        </is>
      </c>
      <c r="G116" t="inlineStr">
        <is>
          <t>KUNGSBACKA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46223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16230-2023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45028</v>
      </c>
      <c r="E118" s="1" t="n">
        <v>46223</v>
      </c>
      <c r="F118" t="inlineStr">
        <is>
          <t>HALLANDS LÄN</t>
        </is>
      </c>
      <c r="G118" t="inlineStr">
        <is>
          <t>KUNGSBACKA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46223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34319-2024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45524</v>
      </c>
      <c r="E120" s="1" t="n">
        <v>46223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57812-2024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46223</v>
      </c>
      <c r="F121" t="inlineStr">
        <is>
          <t>HALLANDS LÄN</t>
        </is>
      </c>
      <c r="G121" t="inlineStr">
        <is>
          <t>KUNGSBACKA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45686</v>
      </c>
      <c r="E122" s="1" t="n">
        <v>46223</v>
      </c>
      <c r="F122" t="inlineStr">
        <is>
          <t>HALLANDS LÄN</t>
        </is>
      </c>
      <c r="G122" t="inlineStr">
        <is>
          <t>KUNGSBACKA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21279-2024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46223</v>
      </c>
      <c r="F123" t="inlineStr">
        <is>
          <t>HALLANDS LÄN</t>
        </is>
      </c>
      <c r="G123" t="inlineStr">
        <is>
          <t>KUNGSBACKA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36597-2023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45153</v>
      </c>
      <c r="E124" s="1" t="n">
        <v>46223</v>
      </c>
      <c r="F124" t="inlineStr">
        <is>
          <t>HALLANDS LÄN</t>
        </is>
      </c>
      <c r="G124" t="inlineStr">
        <is>
          <t>KUNGSBACKA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10396-2024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46223</v>
      </c>
      <c r="F125" t="inlineStr">
        <is>
          <t>HALLANDS LÄN</t>
        </is>
      </c>
      <c r="G125" t="inlineStr">
        <is>
          <t>KUNGSBACKA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26148-2023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46223</v>
      </c>
      <c r="F126" t="inlineStr">
        <is>
          <t>HALLANDS LÄN</t>
        </is>
      </c>
      <c r="G126" t="inlineStr">
        <is>
          <t>KUNGSBACKA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31885-2023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45118</v>
      </c>
      <c r="E127" s="1" t="n">
        <v>46223</v>
      </c>
      <c r="F127" t="inlineStr">
        <is>
          <t>HALLANDS LÄN</t>
        </is>
      </c>
      <c r="G127" t="inlineStr">
        <is>
          <t>KUNGSBACKA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21163-2023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45062</v>
      </c>
      <c r="E128" s="1" t="n">
        <v>46223</v>
      </c>
      <c r="F128" t="inlineStr">
        <is>
          <t>HALLANDS LÄN</t>
        </is>
      </c>
      <c r="G128" t="inlineStr">
        <is>
          <t>KUNGSBACKA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46223</v>
      </c>
      <c r="F129" t="inlineStr">
        <is>
          <t>HALLANDS LÄN</t>
        </is>
      </c>
      <c r="G129" t="inlineStr">
        <is>
          <t>KUNGSBACKA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26145-2023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46223</v>
      </c>
      <c r="F130" t="inlineStr">
        <is>
          <t>HALLANDS LÄN</t>
        </is>
      </c>
      <c r="G130" t="inlineStr">
        <is>
          <t>KUNGSBACKA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46223</v>
      </c>
      <c r="F131" t="inlineStr">
        <is>
          <t>HALLANDS LÄN</t>
        </is>
      </c>
      <c r="G131" t="inlineStr">
        <is>
          <t>KUNGSBACKA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49492-2024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45596</v>
      </c>
      <c r="E132" s="1" t="n">
        <v>46223</v>
      </c>
      <c r="F132" t="inlineStr">
        <is>
          <t>HALLANDS LÄN</t>
        </is>
      </c>
      <c r="G132" t="inlineStr">
        <is>
          <t>KUNGSBACKA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27287-2023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46223</v>
      </c>
      <c r="F133" t="inlineStr">
        <is>
          <t>HALLANDS LÄN</t>
        </is>
      </c>
      <c r="G133" t="inlineStr">
        <is>
          <t>KUNGSBACKA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36654-2024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46223</v>
      </c>
      <c r="F134" t="inlineStr">
        <is>
          <t>HALLANDS LÄN</t>
        </is>
      </c>
      <c r="G134" t="inlineStr">
        <is>
          <t>KUNGSBACKA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59726-2024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45639</v>
      </c>
      <c r="E135" s="1" t="n">
        <v>46223</v>
      </c>
      <c r="F135" t="inlineStr">
        <is>
          <t>HALLANDS LÄN</t>
        </is>
      </c>
      <c r="G135" t="inlineStr">
        <is>
          <t>KUNGSBACKA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6757-2025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46223</v>
      </c>
      <c r="F136" t="inlineStr">
        <is>
          <t>HALLANDS LÄN</t>
        </is>
      </c>
      <c r="G136" t="inlineStr">
        <is>
          <t>KUNGSBACKA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21171-2023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46223</v>
      </c>
      <c r="F137" t="inlineStr">
        <is>
          <t>HALLANDS LÄN</t>
        </is>
      </c>
      <c r="G137" t="inlineStr">
        <is>
          <t>KUNGSBACKA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21306-2023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45062</v>
      </c>
      <c r="E138" s="1" t="n">
        <v>46223</v>
      </c>
      <c r="F138" t="inlineStr">
        <is>
          <t>HALLANDS LÄN</t>
        </is>
      </c>
      <c r="G138" t="inlineStr">
        <is>
          <t>KUNGSBACKA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46223</v>
      </c>
      <c r="F139" t="inlineStr">
        <is>
          <t>HALLANDS LÄN</t>
        </is>
      </c>
      <c r="G139" t="inlineStr">
        <is>
          <t>KUNGSBACKA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9409-2024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46223</v>
      </c>
      <c r="F140" t="inlineStr">
        <is>
          <t>HALLANDS LÄN</t>
        </is>
      </c>
      <c r="G140" t="inlineStr">
        <is>
          <t>KUNGSBACKA</t>
        </is>
      </c>
      <c r="H140" t="inlineStr">
        <is>
          <t>Kyrkan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41855-2024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46223</v>
      </c>
      <c r="F141" t="inlineStr">
        <is>
          <t>HALLANDS LÄN</t>
        </is>
      </c>
      <c r="G141" t="inlineStr">
        <is>
          <t>KUNGSBACKA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9412-2024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46223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49912-2025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46223</v>
      </c>
      <c r="F143" t="inlineStr">
        <is>
          <t>HALLANDS LÄN</t>
        </is>
      </c>
      <c r="G143" t="inlineStr">
        <is>
          <t>KUNGSBACKA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45281-2024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46223</v>
      </c>
      <c r="F144" t="inlineStr">
        <is>
          <t>HALLANDS LÄN</t>
        </is>
      </c>
      <c r="G144" t="inlineStr">
        <is>
          <t>KUNGSBACKA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62664-2022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46223</v>
      </c>
      <c r="F145" t="inlineStr">
        <is>
          <t>HALLANDS LÄN</t>
        </is>
      </c>
      <c r="G145" t="inlineStr">
        <is>
          <t>KUNGSBACKA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45443</v>
      </c>
      <c r="E146" s="1" t="n">
        <v>46223</v>
      </c>
      <c r="F146" t="inlineStr">
        <is>
          <t>HALLANDS LÄN</t>
        </is>
      </c>
      <c r="G146" t="inlineStr">
        <is>
          <t>KUNGSBACKA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37051-2025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46223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51978-2024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46223</v>
      </c>
      <c r="F148" t="inlineStr">
        <is>
          <t>HALLANDS LÄN</t>
        </is>
      </c>
      <c r="G148" t="inlineStr">
        <is>
          <t>KUNGSBACKA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51523-2025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45950</v>
      </c>
      <c r="E149" s="1" t="n">
        <v>46223</v>
      </c>
      <c r="F149" t="inlineStr">
        <is>
          <t>HALLANDS LÄN</t>
        </is>
      </c>
      <c r="G149" t="inlineStr">
        <is>
          <t>KUNGSBACKA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45923</v>
      </c>
      <c r="E150" s="1" t="n">
        <v>46223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47832-2023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46223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46223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52132-2025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46223</v>
      </c>
      <c r="F153" t="inlineStr">
        <is>
          <t>HALLANDS LÄN</t>
        </is>
      </c>
      <c r="G153" t="inlineStr">
        <is>
          <t>KUNGSBACKA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8743-2026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46223</v>
      </c>
      <c r="F154" t="inlineStr">
        <is>
          <t>HALLANDS LÄN</t>
        </is>
      </c>
      <c r="G154" t="inlineStr">
        <is>
          <t>KUNGSBACKA</t>
        </is>
      </c>
      <c r="H154" t="inlineStr">
        <is>
          <t>Kommuner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15060-2025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46223</v>
      </c>
      <c r="F155" t="inlineStr">
        <is>
          <t>HALLANDS LÄN</t>
        </is>
      </c>
      <c r="G155" t="inlineStr">
        <is>
          <t>KUNGSBACKA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15062-2025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46223</v>
      </c>
      <c r="F156" t="inlineStr">
        <is>
          <t>HALLANDS LÄN</t>
        </is>
      </c>
      <c r="G156" t="inlineStr">
        <is>
          <t>KUNGSBACKA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12094-2025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45729</v>
      </c>
      <c r="E157" s="1" t="n">
        <v>46223</v>
      </c>
      <c r="F157" t="inlineStr">
        <is>
          <t>HALLANDS LÄN</t>
        </is>
      </c>
      <c r="G157" t="inlineStr">
        <is>
          <t>KUNGSBACKA</t>
        </is>
      </c>
      <c r="H157" t="inlineStr">
        <is>
          <t>Övriga Aktiebolag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53487-2025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46223</v>
      </c>
      <c r="F158" t="inlineStr">
        <is>
          <t>HALLANDS LÄN</t>
        </is>
      </c>
      <c r="G158" t="inlineStr">
        <is>
          <t>KUNGSBACKA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23994-2023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46223</v>
      </c>
      <c r="F159" t="inlineStr">
        <is>
          <t>HALLANDS LÄN</t>
        </is>
      </c>
      <c r="G159" t="inlineStr">
        <is>
          <t>KUNGSBACKA</t>
        </is>
      </c>
      <c r="H159" t="inlineStr">
        <is>
          <t>Övriga Aktiebolag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46223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9965-2025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45719</v>
      </c>
      <c r="E161" s="1" t="n">
        <v>46223</v>
      </c>
      <c r="F161" t="inlineStr">
        <is>
          <t>HALLANDS LÄN</t>
        </is>
      </c>
      <c r="G161" t="inlineStr">
        <is>
          <t>KUNGSBACKA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9976-2025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45719</v>
      </c>
      <c r="E162" s="1" t="n">
        <v>46223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10572-2026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46077</v>
      </c>
      <c r="E163" s="1" t="n">
        <v>46223</v>
      </c>
      <c r="F163" t="inlineStr">
        <is>
          <t>HALLANDS LÄN</t>
        </is>
      </c>
      <c r="G163" t="inlineStr">
        <is>
          <t>KUNGSBACKA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12071-2025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46223</v>
      </c>
      <c r="F164" t="inlineStr">
        <is>
          <t>HALLANDS LÄN</t>
        </is>
      </c>
      <c r="G164" t="inlineStr">
        <is>
          <t>KUNGSBACKA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8170-2026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46063</v>
      </c>
      <c r="E165" s="1" t="n">
        <v>46223</v>
      </c>
      <c r="F165" t="inlineStr">
        <is>
          <t>HALLANDS LÄN</t>
        </is>
      </c>
      <c r="G165" t="inlineStr">
        <is>
          <t>KUNGSBACKA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10751-2026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46223</v>
      </c>
      <c r="F166" t="inlineStr">
        <is>
          <t>HALLANDS LÄN</t>
        </is>
      </c>
      <c r="G166" t="inlineStr">
        <is>
          <t>KUNGSBACKA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10753-2026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46223</v>
      </c>
      <c r="F167" t="inlineStr">
        <is>
          <t>HALLANDS LÄN</t>
        </is>
      </c>
      <c r="G167" t="inlineStr">
        <is>
          <t>KUNGSBACKA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8167-2026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46063</v>
      </c>
      <c r="E168" s="1" t="n">
        <v>46223</v>
      </c>
      <c r="F168" t="inlineStr">
        <is>
          <t>HALLANDS LÄN</t>
        </is>
      </c>
      <c r="G168" t="inlineStr">
        <is>
          <t>KUNGSBACKA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10799-2026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46223</v>
      </c>
      <c r="F169" t="inlineStr">
        <is>
          <t>HALLANDS LÄN</t>
        </is>
      </c>
      <c r="G169" t="inlineStr">
        <is>
          <t>KUNGSBACKA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65199-2023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45288</v>
      </c>
      <c r="E170" s="1" t="n">
        <v>46223</v>
      </c>
      <c r="F170" t="inlineStr">
        <is>
          <t>HALLANDS LÄN</t>
        </is>
      </c>
      <c r="G170" t="inlineStr">
        <is>
          <t>KUNGSBACKA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46223</v>
      </c>
      <c r="F171" t="inlineStr">
        <is>
          <t>HALLANDS LÄN</t>
        </is>
      </c>
      <c r="G171" t="inlineStr">
        <is>
          <t>KUNGSBACKA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12048-2026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46086</v>
      </c>
      <c r="E172" s="1" t="n">
        <v>46223</v>
      </c>
      <c r="F172" t="inlineStr">
        <is>
          <t>HALLANDS LÄN</t>
        </is>
      </c>
      <c r="G172" t="inlineStr">
        <is>
          <t>KUNGSBACKA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16075-2025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45749</v>
      </c>
      <c r="E173" s="1" t="n">
        <v>46223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45461</v>
      </c>
      <c r="E174" s="1" t="n">
        <v>46223</v>
      </c>
      <c r="F174" t="inlineStr">
        <is>
          <t>HALLANDS LÄN</t>
        </is>
      </c>
      <c r="G174" t="inlineStr">
        <is>
          <t>KUNGSBACKA</t>
        </is>
      </c>
      <c r="H174" t="inlineStr">
        <is>
          <t>Kommuner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60004-2025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45993</v>
      </c>
      <c r="E175" s="1" t="n">
        <v>46223</v>
      </c>
      <c r="F175" t="inlineStr">
        <is>
          <t>HALLANDS LÄN</t>
        </is>
      </c>
      <c r="G175" t="inlineStr">
        <is>
          <t>KUNGSBACKA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53378-2021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44468</v>
      </c>
      <c r="E176" s="1" t="n">
        <v>46223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46779-2022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44851</v>
      </c>
      <c r="E177" s="1" t="n">
        <v>46223</v>
      </c>
      <c r="F177" t="inlineStr">
        <is>
          <t>HALLANDS LÄN</t>
        </is>
      </c>
      <c r="G177" t="inlineStr">
        <is>
          <t>KUNGSBACKA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61621-2025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46223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11961-2023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46223</v>
      </c>
      <c r="F179" t="inlineStr">
        <is>
          <t>HALLANDS LÄN</t>
        </is>
      </c>
      <c r="G179" t="inlineStr">
        <is>
          <t>KUNGSBACKA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44981</v>
      </c>
      <c r="E180" s="1" t="n">
        <v>46223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10664-2025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46223</v>
      </c>
      <c r="F181" t="inlineStr">
        <is>
          <t>HALLANDS LÄN</t>
        </is>
      </c>
      <c r="G181" t="inlineStr">
        <is>
          <t>KUNGSBACKA</t>
        </is>
      </c>
      <c r="I181" t="n">
        <v>15.2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62142-2024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45656</v>
      </c>
      <c r="E182" s="1" t="n">
        <v>46223</v>
      </c>
      <c r="F182" t="inlineStr">
        <is>
          <t>HALLANDS LÄN</t>
        </is>
      </c>
      <c r="G182" t="inlineStr">
        <is>
          <t>KUNGSBACKA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62143-2024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45656</v>
      </c>
      <c r="E183" s="1" t="n">
        <v>46223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46223</v>
      </c>
      <c r="F184" t="inlineStr">
        <is>
          <t>HALLANDS LÄN</t>
        </is>
      </c>
      <c r="G184" t="inlineStr">
        <is>
          <t>KUNGSBACKA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17293-2025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45756</v>
      </c>
      <c r="E185" s="1" t="n">
        <v>46223</v>
      </c>
      <c r="F185" t="inlineStr">
        <is>
          <t>HALLANDS LÄN</t>
        </is>
      </c>
      <c r="G185" t="inlineStr">
        <is>
          <t>KUNGSBACKA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16887-2025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45755</v>
      </c>
      <c r="E186" s="1" t="n">
        <v>46223</v>
      </c>
      <c r="F186" t="inlineStr">
        <is>
          <t>HALLANDS LÄN</t>
        </is>
      </c>
      <c r="G186" t="inlineStr">
        <is>
          <t>KUNGSBACKA</t>
        </is>
      </c>
      <c r="H186" t="inlineStr">
        <is>
          <t>Övriga Aktiebolag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61976-2024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45653</v>
      </c>
      <c r="E187" s="1" t="n">
        <v>46223</v>
      </c>
      <c r="F187" t="inlineStr">
        <is>
          <t>HALLANDS LÄN</t>
        </is>
      </c>
      <c r="G187" t="inlineStr">
        <is>
          <t>KUNGSBACKA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46223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46223</v>
      </c>
      <c r="F189" t="inlineStr">
        <is>
          <t>HALLANDS LÄN</t>
        </is>
      </c>
      <c r="G189" t="inlineStr">
        <is>
          <t>KUNGSBACKA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46223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46223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44831</v>
      </c>
      <c r="E192" s="1" t="n">
        <v>46223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59623-2024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45638</v>
      </c>
      <c r="E193" s="1" t="n">
        <v>46223</v>
      </c>
      <c r="F193" t="inlineStr">
        <is>
          <t>HALLANDS LÄN</t>
        </is>
      </c>
      <c r="G193" t="inlineStr">
        <is>
          <t>KUNGSBACKA</t>
        </is>
      </c>
      <c r="I193" t="n">
        <v>19.2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12064-2023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44997</v>
      </c>
      <c r="E194" s="1" t="n">
        <v>46223</v>
      </c>
      <c r="F194" t="inlineStr">
        <is>
          <t>HALLANDS LÄN</t>
        </is>
      </c>
      <c r="G194" t="inlineStr">
        <is>
          <t>KUNGSBACKA</t>
        </is>
      </c>
      <c r="I194" t="n">
        <v>10.5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71676-2021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46223</v>
      </c>
      <c r="F195" t="inlineStr">
        <is>
          <t>HALLANDS LÄN</t>
        </is>
      </c>
      <c r="G195" t="inlineStr">
        <is>
          <t>KUNGSBACKA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14898-2023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45014</v>
      </c>
      <c r="E196" s="1" t="n">
        <v>46223</v>
      </c>
      <c r="F196" t="inlineStr">
        <is>
          <t>HALLANDS LÄN</t>
        </is>
      </c>
      <c r="G196" t="inlineStr">
        <is>
          <t>KUNGSBACKA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49489-2024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45596</v>
      </c>
      <c r="E197" s="1" t="n">
        <v>46223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18077-2026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46125</v>
      </c>
      <c r="E198" s="1" t="n">
        <v>46223</v>
      </c>
      <c r="F198" t="inlineStr">
        <is>
          <t>HALLANDS LÄN</t>
        </is>
      </c>
      <c r="G198" t="inlineStr">
        <is>
          <t>KUNGSBACKA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18057-2022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44684</v>
      </c>
      <c r="E199" s="1" t="n">
        <v>46223</v>
      </c>
      <c r="F199" t="inlineStr">
        <is>
          <t>HALLANDS LÄN</t>
        </is>
      </c>
      <c r="G199" t="inlineStr">
        <is>
          <t>KUNGSBACKA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15163-2024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45400</v>
      </c>
      <c r="E200" s="1" t="n">
        <v>46223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18481-2026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46223</v>
      </c>
      <c r="F201" t="inlineStr">
        <is>
          <t>HALLANDS LÄN</t>
        </is>
      </c>
      <c r="G201" t="inlineStr">
        <is>
          <t>KUNGSBACKA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63598-2023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45275</v>
      </c>
      <c r="E202" s="1" t="n">
        <v>46223</v>
      </c>
      <c r="F202" t="inlineStr">
        <is>
          <t>HALLANDS LÄN</t>
        </is>
      </c>
      <c r="G202" t="inlineStr">
        <is>
          <t>KUNGSBACKA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12404-2023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44999</v>
      </c>
      <c r="E203" s="1" t="n">
        <v>46223</v>
      </c>
      <c r="F203" t="inlineStr">
        <is>
          <t>HALLANDS LÄN</t>
        </is>
      </c>
      <c r="G203" t="inlineStr">
        <is>
          <t>KUNGSBACKA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39154-2025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46223</v>
      </c>
      <c r="F204" t="inlineStr">
        <is>
          <t>HALLANDS LÄN</t>
        </is>
      </c>
      <c r="G204" t="inlineStr">
        <is>
          <t>KUNGSBACKA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47321-2024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45587</v>
      </c>
      <c r="E205" s="1" t="n">
        <v>46223</v>
      </c>
      <c r="F205" t="inlineStr">
        <is>
          <t>HALLANDS LÄN</t>
        </is>
      </c>
      <c r="G205" t="inlineStr">
        <is>
          <t>KUNGSBACKA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59696-2024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46223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45742</v>
      </c>
      <c r="E207" s="1" t="n">
        <v>46223</v>
      </c>
      <c r="F207" t="inlineStr">
        <is>
          <t>HALLANDS LÄN</t>
        </is>
      </c>
      <c r="G207" t="inlineStr">
        <is>
          <t>KUNGSBACKA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11204-2025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46223</v>
      </c>
      <c r="F208" t="inlineStr">
        <is>
          <t>HALLANDS LÄN</t>
        </is>
      </c>
      <c r="G208" t="inlineStr">
        <is>
          <t>KUNGSBACKA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46223</v>
      </c>
      <c r="F209" t="inlineStr">
        <is>
          <t>HALLANDS LÄN</t>
        </is>
      </c>
      <c r="G209" t="inlineStr">
        <is>
          <t>KUNGSBACKA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22589-2023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46223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45659</v>
      </c>
      <c r="E211" s="1" t="n">
        <v>46223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25757-2025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45801</v>
      </c>
      <c r="E212" s="1" t="n">
        <v>46223</v>
      </c>
      <c r="F212" t="inlineStr">
        <is>
          <t>HALLANDS LÄN</t>
        </is>
      </c>
      <c r="G212" t="inlineStr">
        <is>
          <t>KUNGSBACKA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62141-2024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45656</v>
      </c>
      <c r="E213" s="1" t="n">
        <v>46223</v>
      </c>
      <c r="F213" t="inlineStr">
        <is>
          <t>HALLANDS LÄN</t>
        </is>
      </c>
      <c r="G213" t="inlineStr">
        <is>
          <t>KUNGSBACKA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10572-2024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46223</v>
      </c>
      <c r="F214" t="inlineStr">
        <is>
          <t>HALLANDS LÄN</t>
        </is>
      </c>
      <c r="G214" t="inlineStr">
        <is>
          <t>KUNGSBACKA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15122-2025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45744</v>
      </c>
      <c r="E215" s="1" t="n">
        <v>46223</v>
      </c>
      <c r="F215" t="inlineStr">
        <is>
          <t>HALLANDS LÄN</t>
        </is>
      </c>
      <c r="G215" t="inlineStr">
        <is>
          <t>KUNGSBACKA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26866-2025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46223</v>
      </c>
      <c r="F216" t="inlineStr">
        <is>
          <t>HALLANDS LÄN</t>
        </is>
      </c>
      <c r="G216" t="inlineStr">
        <is>
          <t>KUNGSBACKA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48486-2025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46223</v>
      </c>
      <c r="F217" t="inlineStr">
        <is>
          <t>HALLANDS LÄN</t>
        </is>
      </c>
      <c r="G217" t="inlineStr">
        <is>
          <t>KUNGSBACKA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11306-2024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46223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6504-2022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44601</v>
      </c>
      <c r="E219" s="1" t="n">
        <v>46223</v>
      </c>
      <c r="F219" t="inlineStr">
        <is>
          <t>HALLANDS LÄN</t>
        </is>
      </c>
      <c r="G219" t="inlineStr">
        <is>
          <t>KUNGSBACKA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46223</v>
      </c>
      <c r="F220" t="inlineStr">
        <is>
          <t>HALLANDS LÄN</t>
        </is>
      </c>
      <c r="G220" t="inlineStr">
        <is>
          <t>KUNGSBACKA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46223</v>
      </c>
      <c r="F221" t="inlineStr">
        <is>
          <t>HALLANDS LÄN</t>
        </is>
      </c>
      <c r="G221" t="inlineStr">
        <is>
          <t>KUNGSBACKA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31344-2024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45504</v>
      </c>
      <c r="E222" s="1" t="n">
        <v>46223</v>
      </c>
      <c r="F222" t="inlineStr">
        <is>
          <t>HALLANDS LÄN</t>
        </is>
      </c>
      <c r="G222" t="inlineStr">
        <is>
          <t>KUNGSBACKA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36284-2025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45867</v>
      </c>
      <c r="E223" s="1" t="n">
        <v>46223</v>
      </c>
      <c r="F223" t="inlineStr">
        <is>
          <t>HALLANDS LÄN</t>
        </is>
      </c>
      <c r="G223" t="inlineStr">
        <is>
          <t>KUNGSBACKA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28879-2025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45820</v>
      </c>
      <c r="E224" s="1" t="n">
        <v>46223</v>
      </c>
      <c r="F224" t="inlineStr">
        <is>
          <t>HALLANDS LÄN</t>
        </is>
      </c>
      <c r="G224" t="inlineStr">
        <is>
          <t>KUNGSBACKA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33646-2022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44789</v>
      </c>
      <c r="E225" s="1" t="n">
        <v>46223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7798-2025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46223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48406-2023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45205</v>
      </c>
      <c r="E227" s="1" t="n">
        <v>46223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45625-2025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46223</v>
      </c>
      <c r="F228" t="inlineStr">
        <is>
          <t>HALLANDS LÄN</t>
        </is>
      </c>
      <c r="G228" t="inlineStr">
        <is>
          <t>KUNGSBACKA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61259-2025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46223</v>
      </c>
      <c r="F229" t="inlineStr">
        <is>
          <t>HALLANDS LÄN</t>
        </is>
      </c>
      <c r="G229" t="inlineStr">
        <is>
          <t>KUNGSBACKA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11490-2025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46223</v>
      </c>
      <c r="F230" t="inlineStr">
        <is>
          <t>HALLANDS LÄN</t>
        </is>
      </c>
      <c r="G230" t="inlineStr">
        <is>
          <t>KUNGSBACKA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45691</v>
      </c>
      <c r="E231" s="1" t="n">
        <v>46223</v>
      </c>
      <c r="F231" t="inlineStr">
        <is>
          <t>HALLANDS LÄN</t>
        </is>
      </c>
      <c r="G231" t="inlineStr">
        <is>
          <t>KUNGSBACKA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8677-2022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44613</v>
      </c>
      <c r="E232" s="1" t="n">
        <v>46223</v>
      </c>
      <c r="F232" t="inlineStr">
        <is>
          <t>HALLANDS LÄN</t>
        </is>
      </c>
      <c r="G232" t="inlineStr">
        <is>
          <t>KUNGSBACKA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31302-2022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44773</v>
      </c>
      <c r="E233" s="1" t="n">
        <v>46223</v>
      </c>
      <c r="F233" t="inlineStr">
        <is>
          <t>HALLANDS LÄN</t>
        </is>
      </c>
      <c r="G233" t="inlineStr">
        <is>
          <t>KUNGSBACKA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26675-2026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46223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27295-2023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45096</v>
      </c>
      <c r="E235" s="1" t="n">
        <v>46223</v>
      </c>
      <c r="F235" t="inlineStr">
        <is>
          <t>HALLANDS LÄN</t>
        </is>
      </c>
      <c r="G235" t="inlineStr">
        <is>
          <t>KUNGSBACKA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58324-2024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46223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58330-2024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46223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26677-2026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46223</v>
      </c>
      <c r="F238" t="inlineStr">
        <is>
          <t>HALLANDS LÄN</t>
        </is>
      </c>
      <c r="G238" t="inlineStr">
        <is>
          <t>KUNGSBACKA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26699-2026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46223</v>
      </c>
      <c r="F239" t="inlineStr">
        <is>
          <t>HALLANDS LÄN</t>
        </is>
      </c>
      <c r="G239" t="inlineStr">
        <is>
          <t>KUNGSBACKA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26701-2026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46223</v>
      </c>
      <c r="F240" t="inlineStr">
        <is>
          <t>HALLANDS LÄN</t>
        </is>
      </c>
      <c r="G240" t="inlineStr">
        <is>
          <t>KUNGSBACKA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24459-2022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44726</v>
      </c>
      <c r="E241" s="1" t="n">
        <v>46223</v>
      </c>
      <c r="F241" t="inlineStr">
        <is>
          <t>HALLANDS LÄN</t>
        </is>
      </c>
      <c r="G241" t="inlineStr">
        <is>
          <t>KUNGSBACKA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46223</v>
      </c>
      <c r="F242" t="inlineStr">
        <is>
          <t>HALLANDS LÄN</t>
        </is>
      </c>
      <c r="G242" t="inlineStr">
        <is>
          <t>KUNGSBACKA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26726-2026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46223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26735-2026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46223</v>
      </c>
      <c r="F244" t="inlineStr">
        <is>
          <t>HALLANDS LÄN</t>
        </is>
      </c>
      <c r="G244" t="inlineStr">
        <is>
          <t>KUNGSBACKA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26733-2026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46184</v>
      </c>
      <c r="E245" s="1" t="n">
        <v>46223</v>
      </c>
      <c r="F245" t="inlineStr">
        <is>
          <t>HALLANDS LÄN</t>
        </is>
      </c>
      <c r="G245" t="inlineStr">
        <is>
          <t>KUNGSBACKA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10124-2025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45719</v>
      </c>
      <c r="E246" s="1" t="n">
        <v>46223</v>
      </c>
      <c r="F246" t="inlineStr">
        <is>
          <t>HALLANDS LÄN</t>
        </is>
      </c>
      <c r="G246" t="inlineStr">
        <is>
          <t>KUNGSBACKA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10140-2025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45719</v>
      </c>
      <c r="E247" s="1" t="n">
        <v>46223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16041-2025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46223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15076-2025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46223</v>
      </c>
      <c r="F249" t="inlineStr">
        <is>
          <t>HALLANDS LÄN</t>
        </is>
      </c>
      <c r="G249" t="inlineStr">
        <is>
          <t>KUNGSBACKA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62741-2022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44925</v>
      </c>
      <c r="E250" s="1" t="n">
        <v>46223</v>
      </c>
      <c r="F250" t="inlineStr">
        <is>
          <t>HALLANDS LÄN</t>
        </is>
      </c>
      <c r="G250" t="inlineStr">
        <is>
          <t>KUNGSBACKA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21756-2026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46223</v>
      </c>
      <c r="F251" t="inlineStr">
        <is>
          <t>HALLANDS LÄN</t>
        </is>
      </c>
      <c r="G251" t="inlineStr">
        <is>
          <t>KUNGSBACKA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15020-2025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46223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37823-2023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46223</v>
      </c>
      <c r="F253" t="inlineStr">
        <is>
          <t>HALLANDS LÄN</t>
        </is>
      </c>
      <c r="G253" t="inlineStr">
        <is>
          <t>KUNGSBACKA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46223</v>
      </c>
      <c r="F254" t="inlineStr">
        <is>
          <t>HALLANDS LÄN</t>
        </is>
      </c>
      <c r="G254" t="inlineStr">
        <is>
          <t>KUNGSBACKA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28507-2026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46197</v>
      </c>
      <c r="E255" s="1" t="n">
        <v>46223</v>
      </c>
      <c r="F255" t="inlineStr">
        <is>
          <t>HALLANDS LÄN</t>
        </is>
      </c>
      <c r="G255" t="inlineStr">
        <is>
          <t>KUNGSBACKA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12218-2025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46223</v>
      </c>
      <c r="F256" t="inlineStr">
        <is>
          <t>HALLANDS LÄN</t>
        </is>
      </c>
      <c r="G256" t="inlineStr">
        <is>
          <t>KUNGSBACKA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34445-2024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46223</v>
      </c>
      <c r="F257" t="inlineStr">
        <is>
          <t>HALLANDS LÄN</t>
        </is>
      </c>
      <c r="G257" t="inlineStr">
        <is>
          <t>KUNGSBACKA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34449-2024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46223</v>
      </c>
      <c r="F258" t="inlineStr">
        <is>
          <t>HALLANDS LÄN</t>
        </is>
      </c>
      <c r="G258" t="inlineStr">
        <is>
          <t>KUNGSBACKA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11068-2023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46223</v>
      </c>
      <c r="F259" t="inlineStr">
        <is>
          <t>HALLANDS LÄN</t>
        </is>
      </c>
      <c r="G259" t="inlineStr">
        <is>
          <t>KUNGSBACKA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9527-2024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45359</v>
      </c>
      <c r="E260" s="1" t="n">
        <v>46223</v>
      </c>
      <c r="F260" t="inlineStr">
        <is>
          <t>HALLANDS LÄN</t>
        </is>
      </c>
      <c r="G260" t="inlineStr">
        <is>
          <t>KUNGSBACKA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44593</v>
      </c>
      <c r="E261" s="1" t="n">
        <v>46223</v>
      </c>
      <c r="F261" t="inlineStr">
        <is>
          <t>HALLANDS LÄN</t>
        </is>
      </c>
      <c r="G261" t="inlineStr">
        <is>
          <t>KUNGSBACKA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45335</v>
      </c>
      <c r="E262" s="1" t="n">
        <v>46223</v>
      </c>
      <c r="F262" t="inlineStr">
        <is>
          <t>HALLANDS LÄN</t>
        </is>
      </c>
      <c r="G262" t="inlineStr">
        <is>
          <t>KUNGSBACKA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28515-2026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46223</v>
      </c>
      <c r="F263" t="inlineStr">
        <is>
          <t>HALLANDS LÄN</t>
        </is>
      </c>
      <c r="G263" t="inlineStr">
        <is>
          <t>KUNGSBACKA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31617-2022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44775</v>
      </c>
      <c r="E264" s="1" t="n">
        <v>46223</v>
      </c>
      <c r="F264" t="inlineStr">
        <is>
          <t>HALLANDS LÄN</t>
        </is>
      </c>
      <c r="G264" t="inlineStr">
        <is>
          <t>KUNGSBACKA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57056-2022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46223</v>
      </c>
      <c r="F265" t="inlineStr">
        <is>
          <t>HALLANDS LÄN</t>
        </is>
      </c>
      <c r="G265" t="inlineStr">
        <is>
          <t>KUNGSBACKA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11310-2024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46223</v>
      </c>
      <c r="F266" t="inlineStr">
        <is>
          <t>HALLANDS LÄN</t>
        </is>
      </c>
      <c r="G266" t="inlineStr">
        <is>
          <t>KUNGSBACKA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44674-2025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45917</v>
      </c>
      <c r="E267" s="1" t="n">
        <v>46223</v>
      </c>
      <c r="F267" t="inlineStr">
        <is>
          <t>HALLANDS LÄN</t>
        </is>
      </c>
      <c r="G267" t="inlineStr">
        <is>
          <t>KUNGSBACKA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14487-2025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46223</v>
      </c>
      <c r="F268" t="inlineStr">
        <is>
          <t>HALLANDS LÄN</t>
        </is>
      </c>
      <c r="G268" t="inlineStr">
        <is>
          <t>KUNGSBACKA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9423-2024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46223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46223</v>
      </c>
      <c r="F270" t="inlineStr">
        <is>
          <t>HALLANDS LÄN</t>
        </is>
      </c>
      <c r="G270" t="inlineStr">
        <is>
          <t>KUNGSBACKA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8789-2024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46223</v>
      </c>
      <c r="F271" t="inlineStr">
        <is>
          <t>HALLANDS LÄN</t>
        </is>
      </c>
      <c r="G271" t="inlineStr">
        <is>
          <t>KUNGSBACKA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28529-2022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44748</v>
      </c>
      <c r="E272" s="1" t="n">
        <v>46223</v>
      </c>
      <c r="F272" t="inlineStr">
        <is>
          <t>HALLANDS LÄN</t>
        </is>
      </c>
      <c r="G272" t="inlineStr">
        <is>
          <t>KUNGSBACKA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51331-2022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44869</v>
      </c>
      <c r="E273" s="1" t="n">
        <v>46223</v>
      </c>
      <c r="F273" t="inlineStr">
        <is>
          <t>HALLANDS LÄN</t>
        </is>
      </c>
      <c r="G273" t="inlineStr">
        <is>
          <t>KUNGSBACKA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33494-2023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45131</v>
      </c>
      <c r="E274" s="1" t="n">
        <v>46223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33496-2023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45131</v>
      </c>
      <c r="E275" s="1" t="n">
        <v>46223</v>
      </c>
      <c r="F275" t="inlineStr">
        <is>
          <t>HALLANDS LÄN</t>
        </is>
      </c>
      <c r="G275" t="inlineStr">
        <is>
          <t>KUNGSBACKA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17401-2023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46223</v>
      </c>
      <c r="F276" t="inlineStr">
        <is>
          <t>HALLANDS LÄN</t>
        </is>
      </c>
      <c r="G276" t="inlineStr">
        <is>
          <t>KUNGSBACKA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51316-2023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46223</v>
      </c>
      <c r="F277" t="inlineStr">
        <is>
          <t>HALLANDS LÄN</t>
        </is>
      </c>
      <c r="G277" t="inlineStr">
        <is>
          <t>KUNGSBACKA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37995-2025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45881</v>
      </c>
      <c r="E278" s="1" t="n">
        <v>46223</v>
      </c>
      <c r="F278" t="inlineStr">
        <is>
          <t>HALLANDS LÄN</t>
        </is>
      </c>
      <c r="G278" t="inlineStr">
        <is>
          <t>KUNGSBACKA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6774-2025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45700</v>
      </c>
      <c r="E279" s="1" t="n">
        <v>46223</v>
      </c>
      <c r="F279" t="inlineStr">
        <is>
          <t>HALLANDS LÄN</t>
        </is>
      </c>
      <c r="G279" t="inlineStr">
        <is>
          <t>KUNGSBACKA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21944-2026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46223</v>
      </c>
      <c r="F280" t="inlineStr">
        <is>
          <t>HALLANDS LÄN</t>
        </is>
      </c>
      <c r="G280" t="inlineStr">
        <is>
          <t>KUNGSBACKA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71891-2021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44543</v>
      </c>
      <c r="E281" s="1" t="n">
        <v>46223</v>
      </c>
      <c r="F281" t="inlineStr">
        <is>
          <t>HALLANDS LÄN</t>
        </is>
      </c>
      <c r="G281" t="inlineStr">
        <is>
          <t>KUNGSBACKA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11293-2024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46223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11296-2024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45371</v>
      </c>
      <c r="E283" s="1" t="n">
        <v>46223</v>
      </c>
      <c r="F283" t="inlineStr">
        <is>
          <t>HALLANDS LÄN</t>
        </is>
      </c>
      <c r="G283" t="inlineStr">
        <is>
          <t>KUNGSBACKA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15074-2025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46223</v>
      </c>
      <c r="F284" t="inlineStr">
        <is>
          <t>HALLANDS LÄN</t>
        </is>
      </c>
      <c r="G284" t="inlineStr">
        <is>
          <t>KUNGSBACKA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14843-2024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46223</v>
      </c>
      <c r="F285" t="inlineStr">
        <is>
          <t>HALLANDS LÄN</t>
        </is>
      </c>
      <c r="G285" t="inlineStr">
        <is>
          <t>KUNGSBACKA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14846-2024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45398</v>
      </c>
      <c r="E286" s="1" t="n">
        <v>46223</v>
      </c>
      <c r="F286" t="inlineStr">
        <is>
          <t>HALLANDS LÄN</t>
        </is>
      </c>
      <c r="G286" t="inlineStr">
        <is>
          <t>KUNGSBACKA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28036-2023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45099</v>
      </c>
      <c r="E287" s="1" t="n">
        <v>46223</v>
      </c>
      <c r="F287" t="inlineStr">
        <is>
          <t>HALLANDS LÄN</t>
        </is>
      </c>
      <c r="G287" t="inlineStr">
        <is>
          <t>KUNGSBACKA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56293-2023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45242</v>
      </c>
      <c r="E288" s="1" t="n">
        <v>46223</v>
      </c>
      <c r="F288" t="inlineStr">
        <is>
          <t>HALLANDS LÄN</t>
        </is>
      </c>
      <c r="G288" t="inlineStr">
        <is>
          <t>KUNGSBACKA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56294-2023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45242</v>
      </c>
      <c r="E289" s="1" t="n">
        <v>46223</v>
      </c>
      <c r="F289" t="inlineStr">
        <is>
          <t>HALLANDS LÄN</t>
        </is>
      </c>
      <c r="G289" t="inlineStr">
        <is>
          <t>KUNGSBACKA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62139-2024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45656</v>
      </c>
      <c r="E290" s="1" t="n">
        <v>46223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15061-2025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45743</v>
      </c>
      <c r="E291" s="1" t="n">
        <v>46223</v>
      </c>
      <c r="F291" t="inlineStr">
        <is>
          <t>HALLANDS LÄN</t>
        </is>
      </c>
      <c r="G291" t="inlineStr">
        <is>
          <t>KUNGSBACKA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49505-2024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46223</v>
      </c>
      <c r="F292" t="inlineStr">
        <is>
          <t>HALLANDS LÄN</t>
        </is>
      </c>
      <c r="G292" t="inlineStr">
        <is>
          <t>KUNGSBACKA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45188</v>
      </c>
      <c r="E293" s="1" t="n">
        <v>46223</v>
      </c>
      <c r="F293" t="inlineStr">
        <is>
          <t>HALLANDS LÄN</t>
        </is>
      </c>
      <c r="G293" t="inlineStr">
        <is>
          <t>KUNGSBACKA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46223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25346-2026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46176</v>
      </c>
      <c r="E295" s="1" t="n">
        <v>46223</v>
      </c>
      <c r="F295" t="inlineStr">
        <is>
          <t>HALLANDS LÄN</t>
        </is>
      </c>
      <c r="G295" t="inlineStr">
        <is>
          <t>KUNGSBACKA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25347-2026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46223</v>
      </c>
      <c r="F296" t="inlineStr">
        <is>
          <t>HALLANDS LÄN</t>
        </is>
      </c>
      <c r="G296" t="inlineStr">
        <is>
          <t>KUNGSBACKA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25351-2026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46176</v>
      </c>
      <c r="E297" s="1" t="n">
        <v>46223</v>
      </c>
      <c r="F297" t="inlineStr">
        <is>
          <t>HALLANDS LÄN</t>
        </is>
      </c>
      <c r="G297" t="inlineStr">
        <is>
          <t>KUNGSBACKA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25337-2026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46176</v>
      </c>
      <c r="E298" s="1" t="n">
        <v>46223</v>
      </c>
      <c r="F298" t="inlineStr">
        <is>
          <t>HALLANDS LÄN</t>
        </is>
      </c>
      <c r="G298" t="inlineStr">
        <is>
          <t>KUNGSBACKA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25349-2026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46176</v>
      </c>
      <c r="E299" s="1" t="n">
        <v>46223</v>
      </c>
      <c r="F299" t="inlineStr">
        <is>
          <t>HALLANDS LÄN</t>
        </is>
      </c>
      <c r="G299" t="inlineStr">
        <is>
          <t>KUNGSBACKA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31884-2022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44777</v>
      </c>
      <c r="E300" s="1" t="n">
        <v>46223</v>
      </c>
      <c r="F300" t="inlineStr">
        <is>
          <t>HALLANDS LÄN</t>
        </is>
      </c>
      <c r="G300" t="inlineStr">
        <is>
          <t>KUNGSBACKA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11154-2022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44629</v>
      </c>
      <c r="E301" s="1" t="n">
        <v>46223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11097-2023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44992</v>
      </c>
      <c r="E302" s="1" t="n">
        <v>46223</v>
      </c>
      <c r="F302" t="inlineStr">
        <is>
          <t>HALLANDS LÄN</t>
        </is>
      </c>
      <c r="G302" t="inlineStr">
        <is>
          <t>KUNGSBACKA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16045-2025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45749</v>
      </c>
      <c r="E303" s="1" t="n">
        <v>46223</v>
      </c>
      <c r="F303" t="inlineStr">
        <is>
          <t>HALLANDS LÄN</t>
        </is>
      </c>
      <c r="G303" t="inlineStr">
        <is>
          <t>KUNGSBACKA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61975-2024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45653</v>
      </c>
      <c r="E304" s="1" t="n">
        <v>46223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61977-2024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45653</v>
      </c>
      <c r="E305" s="1" t="n">
        <v>46223</v>
      </c>
      <c r="F305" t="inlineStr">
        <is>
          <t>HALLANDS LÄN</t>
        </is>
      </c>
      <c r="G305" t="inlineStr">
        <is>
          <t>KUNGSBACKA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12831-2025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45733</v>
      </c>
      <c r="E306" s="1" t="n">
        <v>46223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46223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54319-2024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46223</v>
      </c>
      <c r="F308" t="inlineStr">
        <is>
          <t>HALLANDS LÄN</t>
        </is>
      </c>
      <c r="G308" t="inlineStr">
        <is>
          <t>KUNGSBACKA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59348-2023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45253</v>
      </c>
      <c r="E309" s="1" t="n">
        <v>46223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61446-2024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46223</v>
      </c>
      <c r="F310" t="inlineStr">
        <is>
          <t>HALLANDS LÄN</t>
        </is>
      </c>
      <c r="G310" t="inlineStr">
        <is>
          <t>KUNGSBACKA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46223</v>
      </c>
      <c r="F311" t="inlineStr">
        <is>
          <t>HALLANDS LÄN</t>
        </is>
      </c>
      <c r="G311" t="inlineStr">
        <is>
          <t>KUNGSBACKA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46223</v>
      </c>
      <c r="F312" t="inlineStr">
        <is>
          <t>HALLANDS LÄN</t>
        </is>
      </c>
      <c r="G312" t="inlineStr">
        <is>
          <t>KUNGSBACKA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20881-2025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46223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46223</v>
      </c>
      <c r="F314" t="inlineStr">
        <is>
          <t>HALLANDS LÄN</t>
        </is>
      </c>
      <c r="G314" t="inlineStr">
        <is>
          <t>KUNGSBACKA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45792</v>
      </c>
      <c r="E315" s="1" t="n">
        <v>46223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53194-2024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46223</v>
      </c>
      <c r="F316" t="inlineStr">
        <is>
          <t>HALLANDS LÄN</t>
        </is>
      </c>
      <c r="G316" t="inlineStr">
        <is>
          <t>KUNGSBACKA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46223</v>
      </c>
      <c r="F317" t="inlineStr">
        <is>
          <t>HALLANDS LÄN</t>
        </is>
      </c>
      <c r="G317" t="inlineStr">
        <is>
          <t>KUNGSBACKA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25269-2025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45800</v>
      </c>
      <c r="E318" s="1" t="n">
        <v>46223</v>
      </c>
      <c r="F318" t="inlineStr">
        <is>
          <t>HALLANDS LÄN</t>
        </is>
      </c>
      <c r="G318" t="inlineStr">
        <is>
          <t>KUNGSBACKA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46223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2026-07-20T01:50:29Z</dcterms:created>
  <dcterms:modified xmlns:dcterms="http://purl.org/dc/terms/" xmlns:xsi="http://www.w3.org/2001/XMLSchema-instance" xsi:type="dcterms:W3CDTF">2026-07-20T01:50:30Z</dcterms:modified>
</cp:coreProperties>
</file>