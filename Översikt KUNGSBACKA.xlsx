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45364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45364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45364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65198-2023</t>
        </is>
      </c>
      <c r="B5" s="1" t="n">
        <v>45288</v>
      </c>
      <c r="C5" s="1" t="n">
        <v>45364</v>
      </c>
      <c r="D5" t="inlineStr">
        <is>
          <t>HALLANDS LÄN</t>
        </is>
      </c>
      <c r="E5" t="inlineStr">
        <is>
          <t>KUNGSBACKA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Blåsfliksmossa
Grov fjädermossa
Mussellav</t>
        </is>
      </c>
      <c r="S5">
        <f>HYPERLINK("https://klasma.github.io/Logging_1384/artfynd/A 65198-2023 artfynd.xlsx", "A 65198-2023")</f>
        <v/>
      </c>
      <c r="T5">
        <f>HYPERLINK("https://klasma.github.io/Logging_1384/kartor/A 65198-2023 karta.png", "A 65198-2023")</f>
        <v/>
      </c>
      <c r="V5">
        <f>HYPERLINK("https://klasma.github.io/Logging_1384/klagomål/A 65198-2023 FSC-klagomål.docx", "A 65198-2023")</f>
        <v/>
      </c>
      <c r="W5">
        <f>HYPERLINK("https://klasma.github.io/Logging_1384/klagomålsmail/A 65198-2023 FSC-klagomål mail.docx", "A 65198-2023")</f>
        <v/>
      </c>
      <c r="X5">
        <f>HYPERLINK("https://klasma.github.io/Logging_1384/tillsyn/A 65198-2023 tillsynsbegäran.docx", "A 65198-2023")</f>
        <v/>
      </c>
      <c r="Y5">
        <f>HYPERLINK("https://klasma.github.io/Logging_1384/tillsynsmail/A 65198-2023 tillsynsbegäran mail.docx", "A 65198-2023")</f>
        <v/>
      </c>
    </row>
    <row r="6" ht="15" customHeight="1">
      <c r="A6" t="inlineStr">
        <is>
          <t>A 6067-2023</t>
        </is>
      </c>
      <c r="B6" s="1" t="n">
        <v>44964</v>
      </c>
      <c r="C6" s="1" t="n">
        <v>45364</v>
      </c>
      <c r="D6" t="inlineStr">
        <is>
          <t>HALLANDS LÄN</t>
        </is>
      </c>
      <c r="E6" t="inlineStr">
        <is>
          <t>KUNGSBACKA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Gråskimlig fladdermus
Större vattensalamander</t>
        </is>
      </c>
      <c r="S6">
        <f>HYPERLINK("https://klasma.github.io/Logging_1384/artfynd/A 6067-2023 artfynd.xlsx", "A 6067-2023")</f>
        <v/>
      </c>
      <c r="T6">
        <f>HYPERLINK("https://klasma.github.io/Logging_1384/kartor/A 6067-2023 karta.png", "A 6067-2023")</f>
        <v/>
      </c>
      <c r="V6">
        <f>HYPERLINK("https://klasma.github.io/Logging_1384/klagomål/A 6067-2023 FSC-klagomål.docx", "A 6067-2023")</f>
        <v/>
      </c>
      <c r="W6">
        <f>HYPERLINK("https://klasma.github.io/Logging_1384/klagomålsmail/A 6067-2023 FSC-klagomål mail.docx", "A 6067-2023")</f>
        <v/>
      </c>
      <c r="X6">
        <f>HYPERLINK("https://klasma.github.io/Logging_1384/tillsyn/A 6067-2023 tillsynsbegäran.docx", "A 6067-2023")</f>
        <v/>
      </c>
      <c r="Y6">
        <f>HYPERLINK("https://klasma.github.io/Logging_1384/tillsynsmail/A 6067-2023 tillsynsbegäran mail.docx", "A 6067-2023")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45364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45364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45364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45364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45364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45364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45364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45364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45364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45364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45364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45364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45364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45364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45364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45364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45364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45364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45364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45364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45364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45364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45364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45364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45364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45364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45364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45364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45364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45364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45364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45364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45364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45364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45364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45364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45364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45364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45364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45364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45364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45364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45364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45364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45364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45364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45364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45364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45364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45364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45364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45364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45364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45364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45364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45364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45364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45364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45364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45364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45364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45364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45364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45364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45364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45364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45364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45364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45364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45364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45364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45364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45364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45364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45364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45364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45364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45364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45364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45364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45364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45364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45364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45364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45364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45364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45364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45364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45364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45364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45364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45364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45364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45364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45364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45364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45364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45364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45364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45364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45364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45364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45364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45364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45364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45364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45364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45364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45364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45364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45364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45364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45364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45364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45364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45364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45364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45364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45364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45364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45364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45364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45364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45364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45364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45364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45364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45364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45364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45364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45364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45364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45364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45364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45364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45364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45364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45364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45364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45364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45364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45364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45364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45364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45364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45364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45364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45364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45364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45364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45364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45364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45364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45364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45364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45364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45364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45364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45364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45364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45364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45364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45364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45364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45364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45364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45364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45364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45364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45364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45364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45364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45364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45364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45364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45364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45364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45364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45364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45364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45364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45364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45364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45364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45364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45364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45364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45364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45364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45364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45364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45364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45364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45364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45364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45364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45364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45364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45364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45364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45364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45364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45364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45364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45364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45364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45364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45364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45364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45364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45364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45364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45364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45364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45364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45364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45364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45364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45364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45364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45364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45364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45364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45364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45364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45364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45364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45364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45364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45364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45364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45364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45364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45364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45364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45364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45364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45364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45364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45364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45364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45364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45364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45364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45364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45364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45364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45364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45364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45364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45364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45364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45364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45364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45364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45364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45364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45364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45364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45364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45364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45364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45364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45364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45364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45364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45364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45364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45364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45364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45364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45364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45364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45364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45364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45364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45364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45364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45364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45364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45364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45364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45364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45364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45364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45364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45364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45364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45364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45364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45364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45364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45364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45364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45364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45364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45364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45364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45364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45364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45364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45364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45364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45364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45364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45364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45364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45364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45364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45364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45364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45364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45364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45364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45364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45364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45364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45364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45364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45364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45364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45364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45364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45364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45364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45364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45364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45364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45364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45364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45364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45364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45364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45364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45364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45364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45364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45364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45364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5892-2024</t>
        </is>
      </c>
      <c r="B346" s="1" t="n">
        <v>45335</v>
      </c>
      <c r="C346" s="1" t="n">
        <v>45364</v>
      </c>
      <c r="D346" t="inlineStr">
        <is>
          <t>HALLANDS LÄN</t>
        </is>
      </c>
      <c r="E346" t="inlineStr">
        <is>
          <t>KUNGSBACKA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5890-2024</t>
        </is>
      </c>
      <c r="B347" s="1" t="n">
        <v>45335</v>
      </c>
      <c r="C347" s="1" t="n">
        <v>45364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45364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45364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6417-2024</t>
        </is>
      </c>
      <c r="B350" s="1" t="n">
        <v>45338</v>
      </c>
      <c r="C350" s="1" t="n">
        <v>45364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6393-2024</t>
        </is>
      </c>
      <c r="B351" s="1" t="n">
        <v>45338</v>
      </c>
      <c r="C351" s="1" t="n">
        <v>45364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45364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7435-2024</t>
        </is>
      </c>
      <c r="B353" s="1" t="n">
        <v>45345</v>
      </c>
      <c r="C353" s="1" t="n">
        <v>45364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8789-2024</t>
        </is>
      </c>
      <c r="B354" s="1" t="n">
        <v>45356</v>
      </c>
      <c r="C354" s="1" t="n">
        <v>45364</v>
      </c>
      <c r="D354" t="inlineStr">
        <is>
          <t>HALLANDS LÄN</t>
        </is>
      </c>
      <c r="E354" t="inlineStr">
        <is>
          <t>KUNGSBACKA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9412-2024</t>
        </is>
      </c>
      <c r="B355" s="1" t="n">
        <v>45359</v>
      </c>
      <c r="C355" s="1" t="n">
        <v>45364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9415-2024</t>
        </is>
      </c>
      <c r="B356" s="1" t="n">
        <v>45359</v>
      </c>
      <c r="C356" s="1" t="n">
        <v>45364</v>
      </c>
      <c r="D356" t="inlineStr">
        <is>
          <t>HALLANDS LÄN</t>
        </is>
      </c>
      <c r="E356" t="inlineStr">
        <is>
          <t>KUNGSBACKA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9423-2024</t>
        </is>
      </c>
      <c r="B357" s="1" t="n">
        <v>45359</v>
      </c>
      <c r="C357" s="1" t="n">
        <v>45364</v>
      </c>
      <c r="D357" t="inlineStr">
        <is>
          <t>HALLANDS LÄN</t>
        </is>
      </c>
      <c r="E357" t="inlineStr">
        <is>
          <t>KUNGSBACKA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9414-2024</t>
        </is>
      </c>
      <c r="B358" s="1" t="n">
        <v>45359</v>
      </c>
      <c r="C358" s="1" t="n">
        <v>45364</v>
      </c>
      <c r="D358" t="inlineStr">
        <is>
          <t>HALLANDS LÄN</t>
        </is>
      </c>
      <c r="E358" t="inlineStr">
        <is>
          <t>KUNGSBACKA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9424-2024</t>
        </is>
      </c>
      <c r="B359" s="1" t="n">
        <v>45359</v>
      </c>
      <c r="C359" s="1" t="n">
        <v>45364</v>
      </c>
      <c r="D359" t="inlineStr">
        <is>
          <t>HALLANDS LÄN</t>
        </is>
      </c>
      <c r="E359" t="inlineStr">
        <is>
          <t>KUNGSBACKA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9548-2024</t>
        </is>
      </c>
      <c r="B360" s="1" t="n">
        <v>45359</v>
      </c>
      <c r="C360" s="1" t="n">
        <v>45364</v>
      </c>
      <c r="D360" t="inlineStr">
        <is>
          <t>HALLANDS LÄN</t>
        </is>
      </c>
      <c r="E360" t="inlineStr">
        <is>
          <t>KUNGSBACKA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9409-2024</t>
        </is>
      </c>
      <c r="B361" s="1" t="n">
        <v>45359</v>
      </c>
      <c r="C361" s="1" t="n">
        <v>45364</v>
      </c>
      <c r="D361" t="inlineStr">
        <is>
          <t>HALLANDS LÄN</t>
        </is>
      </c>
      <c r="E361" t="inlineStr">
        <is>
          <t>KUNGSBACKA</t>
        </is>
      </c>
      <c r="F361" t="inlineStr">
        <is>
          <t>Kyrkan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9421-2024</t>
        </is>
      </c>
      <c r="B362" s="1" t="n">
        <v>45359</v>
      </c>
      <c r="C362" s="1" t="n">
        <v>45364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9430-2024</t>
        </is>
      </c>
      <c r="B363" s="1" t="n">
        <v>45359</v>
      </c>
      <c r="C363" s="1" t="n">
        <v>45364</v>
      </c>
      <c r="D363" t="inlineStr">
        <is>
          <t>HALLANDS LÄN</t>
        </is>
      </c>
      <c r="E363" t="inlineStr">
        <is>
          <t>KUNGSBACKA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9527-2024</t>
        </is>
      </c>
      <c r="B364" s="1" t="n">
        <v>45359</v>
      </c>
      <c r="C364" s="1" t="n">
        <v>45364</v>
      </c>
      <c r="D364" t="inlineStr">
        <is>
          <t>HALLANDS LÄN</t>
        </is>
      </c>
      <c r="E364" t="inlineStr">
        <is>
          <t>KUNGSBACKA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9492-2024</t>
        </is>
      </c>
      <c r="B365" s="1" t="n">
        <v>45359</v>
      </c>
      <c r="C365" s="1" t="n">
        <v>45364</v>
      </c>
      <c r="D365" t="inlineStr">
        <is>
          <t>HALLANDS LÄN</t>
        </is>
      </c>
      <c r="E365" t="inlineStr">
        <is>
          <t>KUNGSBACKA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9526-2024</t>
        </is>
      </c>
      <c r="B366" s="1" t="n">
        <v>45359</v>
      </c>
      <c r="C366" s="1" t="n">
        <v>45364</v>
      </c>
      <c r="D366" t="inlineStr">
        <is>
          <t>HALLANDS LÄN</t>
        </is>
      </c>
      <c r="E366" t="inlineStr">
        <is>
          <t>KUNGSBACKA</t>
        </is>
      </c>
      <c r="F366" t="inlineStr">
        <is>
          <t>Kyrkan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9848-2024</t>
        </is>
      </c>
      <c r="B367" s="1" t="n">
        <v>45363</v>
      </c>
      <c r="C367" s="1" t="n">
        <v>45364</v>
      </c>
      <c r="D367" t="inlineStr">
        <is>
          <t>HALLANDS LÄN</t>
        </is>
      </c>
      <c r="E367" t="inlineStr">
        <is>
          <t>KUNGSBACKA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2024-03-13T13:58:21Z</dcterms:created>
  <dcterms:modified xmlns:dcterms="http://purl.org/dc/terms/" xmlns:xsi="http://www.w3.org/2001/XMLSchema-instance" xsi:type="dcterms:W3CDTF">2024-03-13T13:58:22Z</dcterms:modified>
</cp:coreProperties>
</file>