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63965-2021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44509</v>
      </c>
      <c r="E2" s="1" t="n">
        <v>46312</v>
      </c>
      <c r="F2" t="inlineStr">
        <is>
          <t>HALLANDS LÄN</t>
        </is>
      </c>
      <c r="G2" t="inlineStr">
        <is>
          <t>KUNGSBACKA</t>
        </is>
      </c>
      <c r="I2" t="n">
        <v>2</v>
      </c>
      <c r="J2" t="n">
        <v>2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10</v>
      </c>
      <c r="U2" t="n">
        <v>7</v>
      </c>
      <c r="V2" s="2" t="inlineStr">
        <is>
          <t>Blåmossa
Guldlockmossa
Klippfrullania
Myskbock
Rostfläck
Hasselmus
Revlummer</t>
        </is>
      </c>
      <c r="W2">
        <f>HYPERLINK("https://klasma.github.io/Logging_1384/artfynd/A 63965-2021 artfynd.xlsx", "A 63965-2021")</f>
        <v/>
      </c>
      <c r="X2">
        <f>HYPERLINK("https://klasma.github.io/Logging_1384/kartor/A 63965-2021 karta.png", "A 63965-2021")</f>
        <v/>
      </c>
      <c r="Y2">
        <f>HYPERLINK("https://klasma.github.io/Logging_1384/kartor_geotiff/A 63965-2021 georefererad karta.tif", "A 63965-2021")</f>
        <v/>
      </c>
      <c r="AA2">
        <f>HYPERLINK("https://klasma.github.io/Logging_1384/klagomål/A 63965-2021 FSC-klagomål.docx", "A 63965-2021")</f>
        <v/>
      </c>
      <c r="AB2">
        <f>HYPERLINK("https://klasma.github.io/Logging_1384/klagomålsmail/A 63965-2021 FSC-klagomål mail.docx", "A 63965-2021")</f>
        <v/>
      </c>
      <c r="AC2">
        <f>HYPERLINK("https://klasma.github.io/Logging_1384/tillsyn/A 63965-2021 tillsynsbegäran.docx", "A 63965-2021")</f>
        <v/>
      </c>
      <c r="AD2">
        <f>HYPERLINK("https://klasma.github.io/Logging_1384/tillsynsmail/A 63965-2021 tillsynsbegäran mail.docx", "A 63965-2021")</f>
        <v/>
      </c>
    </row>
    <row r="3" ht="15" customHeight="1">
      <c r="A3" t="inlineStr">
        <is>
          <t>A 17981-2025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45761</v>
      </c>
      <c r="E3" s="1" t="n">
        <v>46312</v>
      </c>
      <c r="F3" t="inlineStr">
        <is>
          <t>HALLANDS LÄN</t>
        </is>
      </c>
      <c r="G3" t="inlineStr">
        <is>
          <t>KUNGSBACKA</t>
        </is>
      </c>
      <c r="I3" t="n">
        <v>0.8</v>
      </c>
      <c r="J3" t="n">
        <v>5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5</v>
      </c>
      <c r="T3" t="n">
        <v>5</v>
      </c>
      <c r="U3" t="n">
        <v>5</v>
      </c>
      <c r="V3" s="2" t="inlineStr">
        <is>
          <t>Grönsångare
Talltita
Spillkråka
Gröngöling
Svartvit flugsnappare</t>
        </is>
      </c>
      <c r="W3">
        <f>HYPERLINK("https://klasma.github.io/Logging_1384/artfynd/A 17981-2025 artfynd.xlsx", "A 17981-2025")</f>
        <v/>
      </c>
      <c r="X3">
        <f>HYPERLINK("https://klasma.github.io/Logging_1384/kartor/A 17981-2025 karta.png", "A 17981-2025")</f>
        <v/>
      </c>
      <c r="Y3">
        <f>HYPERLINK("https://klasma.github.io/Logging_1384/kartor_geotiff/A 17981-2025 georefererad karta.tif", "A 17981-2025")</f>
        <v/>
      </c>
      <c r="AA3">
        <f>HYPERLINK("https://klasma.github.io/Logging_1384/klagomål/A 17981-2025 FSC-klagomål.docx", "A 17981-2025")</f>
        <v/>
      </c>
      <c r="AB3">
        <f>HYPERLINK("https://klasma.github.io/Logging_1384/klagomålsmail/A 17981-2025 FSC-klagomål mail.docx", "A 17981-2025")</f>
        <v/>
      </c>
      <c r="AC3">
        <f>HYPERLINK("https://klasma.github.io/Logging_1384/tillsyn/A 17981-2025 tillsynsbegäran.docx", "A 17981-2025")</f>
        <v/>
      </c>
      <c r="AD3">
        <f>HYPERLINK("https://klasma.github.io/Logging_1384/tillsynsmail/A 17981-2025 tillsynsbegäran mail.docx", "A 17981-2025")</f>
        <v/>
      </c>
      <c r="AE3">
        <f>HYPERLINK("https://klasma.github.io/Logging_1384/fåglar/A 17981-2025 prioriterade fågelarter.docx", "A 17981-2025")</f>
        <v/>
      </c>
    </row>
    <row r="4" ht="15" customHeight="1">
      <c r="A4" t="inlineStr">
        <is>
          <t>A 9526-2024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45359</v>
      </c>
      <c r="E4" s="1" t="n">
        <v>46312</v>
      </c>
      <c r="F4" t="inlineStr">
        <is>
          <t>HALLANDS LÄN</t>
        </is>
      </c>
      <c r="G4" t="inlineStr">
        <is>
          <t>KUNGSBACKA</t>
        </is>
      </c>
      <c r="H4" t="inlineStr">
        <is>
          <t>Kyrkan</t>
        </is>
      </c>
      <c r="I4" t="n">
        <v>6.9</v>
      </c>
      <c r="J4" t="n">
        <v>5</v>
      </c>
      <c r="K4" t="n">
        <v>0</v>
      </c>
      <c r="L4" t="n">
        <v>2</v>
      </c>
      <c r="M4" t="n">
        <v>1</v>
      </c>
      <c r="N4" t="n">
        <v>1</v>
      </c>
      <c r="O4" t="n">
        <v>0</v>
      </c>
      <c r="P4" t="n">
        <v>0</v>
      </c>
      <c r="Q4" t="n">
        <v>4</v>
      </c>
      <c r="R4" t="n">
        <v>2</v>
      </c>
      <c r="S4" t="n">
        <v>5</v>
      </c>
      <c r="T4" t="n">
        <v>5</v>
      </c>
      <c r="U4" t="n">
        <v>5</v>
      </c>
      <c r="V4" s="2" t="inlineStr">
        <is>
          <t>Hornuggla
Grönfink
Entita
Rödvingetrast
Gröngöling</t>
        </is>
      </c>
      <c r="W4">
        <f>HYPERLINK("https://klasma.github.io/Logging_1384/artfynd/A 9526-2024 artfynd.xlsx", "A 9526-2024")</f>
        <v/>
      </c>
      <c r="X4">
        <f>HYPERLINK("https://klasma.github.io/Logging_1384/kartor/A 9526-2024 karta.png", "A 9526-2024")</f>
        <v/>
      </c>
      <c r="Y4">
        <f>HYPERLINK("https://klasma.github.io/Logging_1384/kartor_geotiff/A 9526-2024 georefererad karta.tif", "A 9526-2024")</f>
        <v/>
      </c>
      <c r="AA4">
        <f>HYPERLINK("https://klasma.github.io/Logging_1384/klagomål/A 9526-2024 FSC-klagomål.docx", "A 9526-2024")</f>
        <v/>
      </c>
      <c r="AB4">
        <f>HYPERLINK("https://klasma.github.io/Logging_1384/klagomålsmail/A 9526-2024 FSC-klagomål mail.docx", "A 9526-2024")</f>
        <v/>
      </c>
      <c r="AC4">
        <f>HYPERLINK("https://klasma.github.io/Logging_1384/tillsyn/A 9526-2024 tillsynsbegäran.docx", "A 9526-2024")</f>
        <v/>
      </c>
      <c r="AD4">
        <f>HYPERLINK("https://klasma.github.io/Logging_1384/tillsynsmail/A 9526-2024 tillsynsbegäran mail.docx", "A 9526-2024")</f>
        <v/>
      </c>
      <c r="AE4">
        <f>HYPERLINK("https://klasma.github.io/Logging_1384/fåglar/A 9526-2024 prioriterade fågelarter.docx", "A 9526-2024")</f>
        <v/>
      </c>
    </row>
    <row r="5" ht="15" customHeight="1">
      <c r="A5" t="inlineStr">
        <is>
          <t>A 46459-2023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45197</v>
      </c>
      <c r="E5" s="1" t="n">
        <v>46312</v>
      </c>
      <c r="F5" t="inlineStr">
        <is>
          <t>HALLANDS LÄN</t>
        </is>
      </c>
      <c r="G5" t="inlineStr">
        <is>
          <t>KUNGSBACKA</t>
        </is>
      </c>
      <c r="H5" t="inlineStr">
        <is>
          <t>Övriga Aktiebolag</t>
        </is>
      </c>
      <c r="I5" t="n">
        <v>5.4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</v>
      </c>
      <c r="T5" t="n">
        <v>4</v>
      </c>
      <c r="U5" t="n">
        <v>0</v>
      </c>
      <c r="V5" s="2" t="inlineStr">
        <is>
          <t>Drillsnäppa
Barkkornlav
Guldlockmossa
Skogsduva</t>
        </is>
      </c>
      <c r="W5">
        <f>HYPERLINK("https://klasma.github.io/Logging_1384/artfynd/A 46459-2023 artfynd.xlsx", "A 46459-2023")</f>
        <v/>
      </c>
      <c r="X5">
        <f>HYPERLINK("https://klasma.github.io/Logging_1384/kartor/A 46459-2023 karta.png", "A 46459-2023")</f>
        <v/>
      </c>
      <c r="Y5">
        <f>HYPERLINK("https://klasma.github.io/Logging_1384/kartor_geotiff/A 46459-2023 georefererad karta.tif", "A 46459-2023")</f>
        <v/>
      </c>
      <c r="AA5">
        <f>HYPERLINK("https://klasma.github.io/Logging_1384/klagomål/A 46459-2023 FSC-klagomål.docx", "A 46459-2023")</f>
        <v/>
      </c>
      <c r="AB5">
        <f>HYPERLINK("https://klasma.github.io/Logging_1384/klagomålsmail/A 46459-2023 FSC-klagomål mail.docx", "A 46459-2023")</f>
        <v/>
      </c>
      <c r="AC5">
        <f>HYPERLINK("https://klasma.github.io/Logging_1384/tillsyn/A 46459-2023 tillsynsbegäran.docx", "A 46459-2023")</f>
        <v/>
      </c>
      <c r="AD5">
        <f>HYPERLINK("https://klasma.github.io/Logging_1384/tillsynsmail/A 46459-2023 tillsynsbegäran mail.docx", "A 46459-2023")</f>
        <v/>
      </c>
      <c r="AE5">
        <f>HYPERLINK("https://klasma.github.io/Logging_1384/fåglar/A 46459-2023 prioriterade fågelarter.docx", "A 46459-2023")</f>
        <v/>
      </c>
    </row>
    <row r="6" ht="15" customHeight="1">
      <c r="A6" t="inlineStr">
        <is>
          <t>A 58-2025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45659</v>
      </c>
      <c r="E6" s="1" t="n">
        <v>46312</v>
      </c>
      <c r="F6" t="inlineStr">
        <is>
          <t>HALLANDS LÄN</t>
        </is>
      </c>
      <c r="G6" t="inlineStr">
        <is>
          <t>KUNGSBACKA</t>
        </is>
      </c>
      <c r="I6" t="n">
        <v>0.4</v>
      </c>
      <c r="J6" t="n">
        <v>2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3</v>
      </c>
      <c r="T6" t="n">
        <v>3</v>
      </c>
      <c r="U6" t="n">
        <v>3</v>
      </c>
      <c r="V6" s="2" t="inlineStr">
        <is>
          <t>Grönsångare
Mindre hackspett
Västlig hakmossa</t>
        </is>
      </c>
      <c r="W6">
        <f>HYPERLINK("https://klasma.github.io/Logging_1384/artfynd/A 58-2025 artfynd.xlsx", "A 58-2025")</f>
        <v/>
      </c>
      <c r="X6">
        <f>HYPERLINK("https://klasma.github.io/Logging_1384/kartor/A 58-2025 karta.png", "A 58-2025")</f>
        <v/>
      </c>
      <c r="Y6">
        <f>HYPERLINK("https://klasma.github.io/Logging_1384/kartor_geotiff/A 58-2025 georefererad karta.tif", "A 58-2025")</f>
        <v/>
      </c>
      <c r="AA6">
        <f>HYPERLINK("https://klasma.github.io/Logging_1384/klagomål/A 58-2025 FSC-klagomål.docx", "A 58-2025")</f>
        <v/>
      </c>
      <c r="AB6">
        <f>HYPERLINK("https://klasma.github.io/Logging_1384/klagomålsmail/A 58-2025 FSC-klagomål mail.docx", "A 58-2025")</f>
        <v/>
      </c>
      <c r="AC6">
        <f>HYPERLINK("https://klasma.github.io/Logging_1384/tillsyn/A 58-2025 tillsynsbegäran.docx", "A 58-2025")</f>
        <v/>
      </c>
      <c r="AD6">
        <f>HYPERLINK("https://klasma.github.io/Logging_1384/tillsynsmail/A 58-2025 tillsynsbegäran mail.docx", "A 58-2025")</f>
        <v/>
      </c>
      <c r="AE6">
        <f>HYPERLINK("https://klasma.github.io/Logging_1384/fåglar/A 58-2025 prioriterade fågelarter.docx", "A 58-2025")</f>
        <v/>
      </c>
    </row>
    <row r="7" ht="15" customHeight="1">
      <c r="A7" t="inlineStr">
        <is>
          <t>A 65198-2023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45288</v>
      </c>
      <c r="E7" s="1" t="n">
        <v>46312</v>
      </c>
      <c r="F7" t="inlineStr">
        <is>
          <t>HALLANDS LÄN</t>
        </is>
      </c>
      <c r="G7" t="inlineStr">
        <is>
          <t>KUNGSBACKA</t>
        </is>
      </c>
      <c r="I7" t="n">
        <v>2.8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3</v>
      </c>
      <c r="U7" t="n">
        <v>1</v>
      </c>
      <c r="V7" s="2" t="inlineStr">
        <is>
          <t>Blåsfliksmossa
Grov fjädermossa
Mussellav</t>
        </is>
      </c>
      <c r="W7">
        <f>HYPERLINK("https://klasma.github.io/Logging_1384/artfynd/A 65198-2023 artfynd.xlsx", "A 65198-2023")</f>
        <v/>
      </c>
      <c r="X7">
        <f>HYPERLINK("https://klasma.github.io/Logging_1384/kartor/A 65198-2023 karta.png", "A 65198-2023")</f>
        <v/>
      </c>
      <c r="Y7">
        <f>HYPERLINK("https://klasma.github.io/Logging_1384/kartor_geotiff/A 65198-2023 georefererad karta.tif", "A 65198-2023")</f>
        <v/>
      </c>
      <c r="AA7">
        <f>HYPERLINK("https://klasma.github.io/Logging_1384/klagomål/A 65198-2023 FSC-klagomål.docx", "A 65198-2023")</f>
        <v/>
      </c>
      <c r="AB7">
        <f>HYPERLINK("https://klasma.github.io/Logging_1384/klagomålsmail/A 65198-2023 FSC-klagomål mail.docx", "A 65198-2023")</f>
        <v/>
      </c>
      <c r="AC7">
        <f>HYPERLINK("https://klasma.github.io/Logging_1384/tillsyn/A 65198-2023 tillsynsbegäran.docx", "A 65198-2023")</f>
        <v/>
      </c>
      <c r="AD7">
        <f>HYPERLINK("https://klasma.github.io/Logging_1384/tillsynsmail/A 65198-2023 tillsynsbegäran mail.docx", "A 65198-2023")</f>
        <v/>
      </c>
    </row>
    <row r="8" ht="15" customHeight="1">
      <c r="A8" t="inlineStr">
        <is>
          <t>A 13374-2022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44645</v>
      </c>
      <c r="E8" s="1" t="n">
        <v>46312</v>
      </c>
      <c r="F8" t="inlineStr">
        <is>
          <t>HALLANDS LÄN</t>
        </is>
      </c>
      <c r="G8" t="inlineStr">
        <is>
          <t>KUNGSBACKA</t>
        </is>
      </c>
      <c r="I8" t="n">
        <v>10.5</v>
      </c>
      <c r="J8" t="n">
        <v>3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3</v>
      </c>
      <c r="T8" t="n">
        <v>3</v>
      </c>
      <c r="U8" t="n">
        <v>3</v>
      </c>
      <c r="V8" s="2" t="inlineStr">
        <is>
          <t>Entita
Grönsångare
Svartvit flugsnappare</t>
        </is>
      </c>
      <c r="W8">
        <f>HYPERLINK("https://klasma.github.io/Logging_1384/artfynd/A 13374-2022 artfynd.xlsx", "A 13374-2022")</f>
        <v/>
      </c>
      <c r="X8">
        <f>HYPERLINK("https://klasma.github.io/Logging_1384/kartor/A 13374-2022 karta.png", "A 13374-2022")</f>
        <v/>
      </c>
      <c r="Y8">
        <f>HYPERLINK("https://klasma.github.io/Logging_1384/kartor_geotiff/A 13374-2022 georefererad karta.tif", "A 13374-2022")</f>
        <v/>
      </c>
      <c r="AA8">
        <f>HYPERLINK("https://klasma.github.io/Logging_1384/klagomål/A 13374-2022 FSC-klagomål.docx", "A 13374-2022")</f>
        <v/>
      </c>
      <c r="AB8">
        <f>HYPERLINK("https://klasma.github.io/Logging_1384/klagomålsmail/A 13374-2022 FSC-klagomål mail.docx", "A 13374-2022")</f>
        <v/>
      </c>
      <c r="AC8">
        <f>HYPERLINK("https://klasma.github.io/Logging_1384/tillsyn/A 13374-2022 tillsynsbegäran.docx", "A 13374-2022")</f>
        <v/>
      </c>
      <c r="AD8">
        <f>HYPERLINK("https://klasma.github.io/Logging_1384/tillsynsmail/A 13374-2022 tillsynsbegäran mail.docx", "A 13374-2022")</f>
        <v/>
      </c>
      <c r="AE8">
        <f>HYPERLINK("https://klasma.github.io/Logging_1384/fåglar/A 13374-2022 prioriterade fågelarter.docx", "A 13374-2022")</f>
        <v/>
      </c>
    </row>
    <row r="9" ht="15" customHeight="1">
      <c r="A9" t="inlineStr">
        <is>
          <t>A 6417-2024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45338</v>
      </c>
      <c r="E9" s="1" t="n">
        <v>46312</v>
      </c>
      <c r="F9" t="inlineStr">
        <is>
          <t>HALLANDS LÄN</t>
        </is>
      </c>
      <c r="G9" t="inlineStr">
        <is>
          <t>KUNGSBACKA</t>
        </is>
      </c>
      <c r="I9" t="n">
        <v>6.3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3</v>
      </c>
      <c r="T9" t="n">
        <v>3</v>
      </c>
      <c r="U9" t="n">
        <v>3</v>
      </c>
      <c r="V9" s="2" t="inlineStr">
        <is>
          <t>Nordfladdermus
Dvärgpipistrell
Vattenfladdermus</t>
        </is>
      </c>
      <c r="W9">
        <f>HYPERLINK("https://klasma.github.io/Logging_1384/artfynd/A 6417-2024 artfynd.xlsx", "A 6417-2024")</f>
        <v/>
      </c>
      <c r="X9">
        <f>HYPERLINK("https://klasma.github.io/Logging_1384/kartor/A 6417-2024 karta.png", "A 6417-2024")</f>
        <v/>
      </c>
      <c r="Y9">
        <f>HYPERLINK("https://klasma.github.io/Logging_1384/kartor_geotiff/A 6417-2024 georefererad karta.tif", "A 6417-2024")</f>
        <v/>
      </c>
      <c r="AA9">
        <f>HYPERLINK("https://klasma.github.io/Logging_1384/klagomål/A 6417-2024 FSC-klagomål.docx", "A 6417-2024")</f>
        <v/>
      </c>
      <c r="AB9">
        <f>HYPERLINK("https://klasma.github.io/Logging_1384/klagomålsmail/A 6417-2024 FSC-klagomål mail.docx", "A 6417-2024")</f>
        <v/>
      </c>
      <c r="AC9">
        <f>HYPERLINK("https://klasma.github.io/Logging_1384/tillsyn/A 6417-2024 tillsynsbegäran.docx", "A 6417-2024")</f>
        <v/>
      </c>
      <c r="AD9">
        <f>HYPERLINK("https://klasma.github.io/Logging_1384/tillsynsmail/A 6417-2024 tillsynsbegäran mail.docx", "A 6417-2024")</f>
        <v/>
      </c>
    </row>
    <row r="10" ht="15" customHeight="1">
      <c r="A10" t="inlineStr">
        <is>
          <t>A 15096-2025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45744</v>
      </c>
      <c r="E10" s="1" t="n">
        <v>46312</v>
      </c>
      <c r="F10" t="inlineStr">
        <is>
          <t>HALLANDS LÄN</t>
        </is>
      </c>
      <c r="G10" t="inlineStr">
        <is>
          <t>KUNGSBACKA</t>
        </is>
      </c>
      <c r="I10" t="n">
        <v>3.3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2</v>
      </c>
      <c r="U10" t="n">
        <v>2</v>
      </c>
      <c r="V10" s="2" t="inlineStr">
        <is>
          <t>Nordfladdermus
Dvärgpipistrell</t>
        </is>
      </c>
      <c r="W10">
        <f>HYPERLINK("https://klasma.github.io/Logging_1384/artfynd/A 15096-2025 artfynd.xlsx", "A 15096-2025")</f>
        <v/>
      </c>
      <c r="X10">
        <f>HYPERLINK("https://klasma.github.io/Logging_1384/kartor/A 15096-2025 karta.png", "A 15096-2025")</f>
        <v/>
      </c>
      <c r="Y10">
        <f>HYPERLINK("https://klasma.github.io/Logging_1384/kartor_geotiff/A 15096-2025 georefererad karta.tif", "A 15096-2025")</f>
        <v/>
      </c>
      <c r="AA10">
        <f>HYPERLINK("https://klasma.github.io/Logging_1384/klagomål/A 15096-2025 FSC-klagomål.docx", "A 15096-2025")</f>
        <v/>
      </c>
      <c r="AB10">
        <f>HYPERLINK("https://klasma.github.io/Logging_1384/klagomålsmail/A 15096-2025 FSC-klagomål mail.docx", "A 15096-2025")</f>
        <v/>
      </c>
      <c r="AC10">
        <f>HYPERLINK("https://klasma.github.io/Logging_1384/tillsyn/A 15096-2025 tillsynsbegäran.docx", "A 15096-2025")</f>
        <v/>
      </c>
      <c r="AD10">
        <f>HYPERLINK("https://klasma.github.io/Logging_1384/tillsynsmail/A 15096-2025 tillsynsbegäran mail.docx", "A 15096-2025")</f>
        <v/>
      </c>
    </row>
    <row r="11" ht="15" customHeight="1">
      <c r="A11" t="inlineStr">
        <is>
          <t>A 36068-2023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45149</v>
      </c>
      <c r="E11" s="1" t="n">
        <v>46312</v>
      </c>
      <c r="F11" t="inlineStr">
        <is>
          <t>HALLANDS LÄN</t>
        </is>
      </c>
      <c r="G11" t="inlineStr">
        <is>
          <t>KUNGSBACKA</t>
        </is>
      </c>
      <c r="I11" t="n">
        <v>5.3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2</v>
      </c>
      <c r="V11" s="2" t="inlineStr">
        <is>
          <t>Tjäder
Kungsfågel</t>
        </is>
      </c>
      <c r="W11">
        <f>HYPERLINK("https://klasma.github.io/Logging_1384/artfynd/A 36068-2023 artfynd.xlsx", "A 36068-2023")</f>
        <v/>
      </c>
      <c r="X11">
        <f>HYPERLINK("https://klasma.github.io/Logging_1384/kartor/A 36068-2023 karta.png", "A 36068-2023")</f>
        <v/>
      </c>
      <c r="Y11">
        <f>HYPERLINK("https://klasma.github.io/Logging_1384/kartor_geotiff/A 36068-2023 georefererad karta.tif", "A 36068-2023")</f>
        <v/>
      </c>
      <c r="AA11">
        <f>HYPERLINK("https://klasma.github.io/Logging_1384/klagomål/A 36068-2023 FSC-klagomål.docx", "A 36068-2023")</f>
        <v/>
      </c>
      <c r="AB11">
        <f>HYPERLINK("https://klasma.github.io/Logging_1384/klagomålsmail/A 36068-2023 FSC-klagomål mail.docx", "A 36068-2023")</f>
        <v/>
      </c>
      <c r="AC11">
        <f>HYPERLINK("https://klasma.github.io/Logging_1384/tillsyn/A 36068-2023 tillsynsbegäran.docx", "A 36068-2023")</f>
        <v/>
      </c>
      <c r="AD11">
        <f>HYPERLINK("https://klasma.github.io/Logging_1384/tillsynsmail/A 36068-2023 tillsynsbegäran mail.docx", "A 36068-2023")</f>
        <v/>
      </c>
      <c r="AE11">
        <f>HYPERLINK("https://klasma.github.io/Logging_1384/fåglar/A 36068-2023 prioriterade fågelarter.docx", "A 36068-2023")</f>
        <v/>
      </c>
    </row>
    <row r="12" ht="15" customHeight="1">
      <c r="A12" t="inlineStr">
        <is>
          <t>A 18160-2026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46125</v>
      </c>
      <c r="E12" s="1" t="n">
        <v>46312</v>
      </c>
      <c r="F12" t="inlineStr">
        <is>
          <t>HALLANDS LÄN</t>
        </is>
      </c>
      <c r="G12" t="inlineStr">
        <is>
          <t>KUNGSBACKA</t>
        </is>
      </c>
      <c r="I12" t="n">
        <v>0.9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</v>
      </c>
      <c r="R12" t="n">
        <v>2</v>
      </c>
      <c r="S12" t="n">
        <v>2</v>
      </c>
      <c r="T12" t="n">
        <v>2</v>
      </c>
      <c r="U12" t="n">
        <v>0</v>
      </c>
      <c r="V12" s="2" t="inlineStr">
        <is>
          <t>Järnek
Igelkott</t>
        </is>
      </c>
      <c r="W12">
        <f>HYPERLINK("https://klasma.github.io/Logging_1384/artfynd/A 18160-2026 artfynd.xlsx", "A 18160-2026")</f>
        <v/>
      </c>
      <c r="X12">
        <f>HYPERLINK("https://klasma.github.io/Logging_1384/kartor/A 18160-2026 karta.png", "A 18160-2026")</f>
        <v/>
      </c>
      <c r="Y12">
        <f>HYPERLINK("https://klasma.github.io/Logging_1384/kartor_geotiff/A 18160-2026 georefererad karta.tif", "A 18160-2026")</f>
        <v/>
      </c>
      <c r="AA12">
        <f>HYPERLINK("https://klasma.github.io/Logging_1384/klagomål/A 18160-2026 FSC-klagomål.docx", "A 18160-2026")</f>
        <v/>
      </c>
      <c r="AB12">
        <f>HYPERLINK("https://klasma.github.io/Logging_1384/klagomålsmail/A 18160-2026 FSC-klagomål mail.docx", "A 18160-2026")</f>
        <v/>
      </c>
      <c r="AC12">
        <f>HYPERLINK("https://klasma.github.io/Logging_1384/tillsyn/A 18160-2026 tillsynsbegäran.docx", "A 18160-2026")</f>
        <v/>
      </c>
      <c r="AD12">
        <f>HYPERLINK("https://klasma.github.io/Logging_1384/tillsynsmail/A 18160-2026 tillsynsbegäran mail.docx", "A 18160-2026")</f>
        <v/>
      </c>
    </row>
    <row r="13" ht="15" customHeight="1">
      <c r="A13" t="inlineStr">
        <is>
          <t>A 46251-2024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45581</v>
      </c>
      <c r="E13" s="1" t="n">
        <v>46312</v>
      </c>
      <c r="F13" t="inlineStr">
        <is>
          <t>HALLANDS LÄN</t>
        </is>
      </c>
      <c r="G13" t="inlineStr">
        <is>
          <t>KUNGSBACKA</t>
        </is>
      </c>
      <c r="I13" t="n">
        <v>2.3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s="2" t="inlineStr">
        <is>
          <t>Murgröna
Blåsippa</t>
        </is>
      </c>
      <c r="W13">
        <f>HYPERLINK("https://klasma.github.io/Logging_1384/artfynd/A 46251-2024 artfynd.xlsx", "A 46251-2024")</f>
        <v/>
      </c>
      <c r="X13">
        <f>HYPERLINK("https://klasma.github.io/Logging_1384/kartor/A 46251-2024 karta.png", "A 46251-2024")</f>
        <v/>
      </c>
      <c r="Y13">
        <f>HYPERLINK("https://klasma.github.io/Logging_1384/kartor_geotiff/A 46251-2024 georefererad karta.tif", "A 46251-2024")</f>
        <v/>
      </c>
      <c r="AA13">
        <f>HYPERLINK("https://klasma.github.io/Logging_1384/klagomål/A 46251-2024 FSC-klagomål.docx", "A 46251-2024")</f>
        <v/>
      </c>
      <c r="AB13">
        <f>HYPERLINK("https://klasma.github.io/Logging_1384/klagomålsmail/A 46251-2024 FSC-klagomål mail.docx", "A 46251-2024")</f>
        <v/>
      </c>
      <c r="AC13">
        <f>HYPERLINK("https://klasma.github.io/Logging_1384/tillsyn/A 46251-2024 tillsynsbegäran.docx", "A 46251-2024")</f>
        <v/>
      </c>
      <c r="AD13">
        <f>HYPERLINK("https://klasma.github.io/Logging_1384/tillsynsmail/A 46251-2024 tillsynsbegäran mail.docx", "A 46251-2024")</f>
        <v/>
      </c>
    </row>
    <row r="14" ht="15" customHeight="1">
      <c r="A14" t="inlineStr">
        <is>
          <t>A 52318-2022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44873</v>
      </c>
      <c r="E14" s="1" t="n">
        <v>46312</v>
      </c>
      <c r="F14" t="inlineStr">
        <is>
          <t>HALLANDS LÄN</t>
        </is>
      </c>
      <c r="G14" t="inlineStr">
        <is>
          <t>KUNGSBACKA</t>
        </is>
      </c>
      <c r="I14" t="n">
        <v>2.3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Fläcknycklar</t>
        </is>
      </c>
      <c r="W14">
        <f>HYPERLINK("https://klasma.github.io/Logging_1384/artfynd/A 52318-2022 artfynd.xlsx", "A 52318-2022")</f>
        <v/>
      </c>
      <c r="X14">
        <f>HYPERLINK("https://klasma.github.io/Logging_1384/kartor/A 52318-2022 karta.png", "A 52318-2022")</f>
        <v/>
      </c>
      <c r="Y14">
        <f>HYPERLINK("https://klasma.github.io/Logging_1384/kartor_geotiff/A 52318-2022 georefererad karta.tif", "A 52318-2022")</f>
        <v/>
      </c>
      <c r="AA14">
        <f>HYPERLINK("https://klasma.github.io/Logging_1384/klagomål/A 52318-2022 FSC-klagomål.docx", "A 52318-2022")</f>
        <v/>
      </c>
      <c r="AB14">
        <f>HYPERLINK("https://klasma.github.io/Logging_1384/klagomålsmail/A 52318-2022 FSC-klagomål mail.docx", "A 52318-2022")</f>
        <v/>
      </c>
      <c r="AC14">
        <f>HYPERLINK("https://klasma.github.io/Logging_1384/tillsyn/A 52318-2022 tillsynsbegäran.docx", "A 52318-2022")</f>
        <v/>
      </c>
      <c r="AD14">
        <f>HYPERLINK("https://klasma.github.io/Logging_1384/tillsynsmail/A 52318-2022 tillsynsbegäran mail.docx", "A 52318-2022")</f>
        <v/>
      </c>
    </row>
    <row r="15" ht="15" customHeight="1">
      <c r="A15" t="inlineStr">
        <is>
          <t>A 13434-2022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44645</v>
      </c>
      <c r="E15" s="1" t="n">
        <v>46312</v>
      </c>
      <c r="F15" t="inlineStr">
        <is>
          <t>HALLANDS LÄN</t>
        </is>
      </c>
      <c r="G15" t="inlineStr">
        <is>
          <t>KUNGSBACKA</t>
        </is>
      </c>
      <c r="I15" t="n">
        <v>4.6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2</v>
      </c>
      <c r="V15" s="2" t="inlineStr">
        <is>
          <t>Revlummer</t>
        </is>
      </c>
      <c r="W15">
        <f>HYPERLINK("https://klasma.github.io/Logging_1384/artfynd/A 13434-2022 artfynd.xlsx", "A 13434-2022")</f>
        <v/>
      </c>
      <c r="X15">
        <f>HYPERLINK("https://klasma.github.io/Logging_1384/kartor/A 13434-2022 karta.png", "A 13434-2022")</f>
        <v/>
      </c>
      <c r="Y15">
        <f>HYPERLINK("https://klasma.github.io/Logging_1384/kartor_geotiff/A 13434-2022 georefererad karta.tif", "A 13434-2022")</f>
        <v/>
      </c>
      <c r="AA15">
        <f>HYPERLINK("https://klasma.github.io/Logging_1384/klagomål/A 13434-2022 FSC-klagomål.docx", "A 13434-2022")</f>
        <v/>
      </c>
      <c r="AB15">
        <f>HYPERLINK("https://klasma.github.io/Logging_1384/klagomålsmail/A 13434-2022 FSC-klagomål mail.docx", "A 13434-2022")</f>
        <v/>
      </c>
      <c r="AC15">
        <f>HYPERLINK("https://klasma.github.io/Logging_1384/tillsyn/A 13434-2022 tillsynsbegäran.docx", "A 13434-2022")</f>
        <v/>
      </c>
      <c r="AD15">
        <f>HYPERLINK("https://klasma.github.io/Logging_1384/tillsynsmail/A 13434-2022 tillsynsbegäran mail.docx", "A 13434-2022")</f>
        <v/>
      </c>
    </row>
    <row r="16" ht="15" customHeight="1">
      <c r="A16" t="inlineStr">
        <is>
          <t>A 64129-2021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44510</v>
      </c>
      <c r="E16" s="1" t="n">
        <v>46312</v>
      </c>
      <c r="F16" t="inlineStr">
        <is>
          <t>HALLANDS LÄN</t>
        </is>
      </c>
      <c r="G16" t="inlineStr">
        <is>
          <t>KUNGSBACKA</t>
        </is>
      </c>
      <c r="I16" t="n">
        <v>1.8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Revlummer</t>
        </is>
      </c>
      <c r="W16">
        <f>HYPERLINK("https://klasma.github.io/Logging_1384/artfynd/A 64129-2021 artfynd.xlsx", "A 64129-2021")</f>
        <v/>
      </c>
      <c r="X16">
        <f>HYPERLINK("https://klasma.github.io/Logging_1384/kartor/A 64129-2021 karta.png", "A 64129-2021")</f>
        <v/>
      </c>
      <c r="Y16">
        <f>HYPERLINK("https://klasma.github.io/Logging_1384/kartor_geotiff/A 64129-2021 georefererad karta.tif", "A 64129-2021")</f>
        <v/>
      </c>
      <c r="AA16">
        <f>HYPERLINK("https://klasma.github.io/Logging_1384/klagomål/A 64129-2021 FSC-klagomål.docx", "A 64129-2021")</f>
        <v/>
      </c>
      <c r="AB16">
        <f>HYPERLINK("https://klasma.github.io/Logging_1384/klagomålsmail/A 64129-2021 FSC-klagomål mail.docx", "A 64129-2021")</f>
        <v/>
      </c>
      <c r="AC16">
        <f>HYPERLINK("https://klasma.github.io/Logging_1384/tillsyn/A 64129-2021 tillsynsbegäran.docx", "A 64129-2021")</f>
        <v/>
      </c>
      <c r="AD16">
        <f>HYPERLINK("https://klasma.github.io/Logging_1384/tillsynsmail/A 64129-2021 tillsynsbegäran mail.docx", "A 64129-2021")</f>
        <v/>
      </c>
    </row>
    <row r="17" ht="15" customHeight="1">
      <c r="A17" t="inlineStr">
        <is>
          <t>A 9527-2024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45359</v>
      </c>
      <c r="E17" s="1" t="n">
        <v>46312</v>
      </c>
      <c r="F17" t="inlineStr">
        <is>
          <t>HALLANDS LÄN</t>
        </is>
      </c>
      <c r="G17" t="inlineStr">
        <is>
          <t>KUNGSBACKA</t>
        </is>
      </c>
      <c r="H17" t="inlineStr">
        <is>
          <t>Kyrkan</t>
        </is>
      </c>
      <c r="I17" t="n">
        <v>0.6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s="2" t="inlineStr">
        <is>
          <t>Backsvala</t>
        </is>
      </c>
      <c r="W17">
        <f>HYPERLINK("https://klasma.github.io/Logging_1384/artfynd/A 9527-2024 artfynd.xlsx", "A 9527-2024")</f>
        <v/>
      </c>
      <c r="X17">
        <f>HYPERLINK("https://klasma.github.io/Logging_1384/kartor/A 9527-2024 karta.png", "A 9527-2024")</f>
        <v/>
      </c>
      <c r="Y17">
        <f>HYPERLINK("https://klasma.github.io/Logging_1384/kartor_geotiff/A 9527-2024 georefererad karta.tif", "A 9527-2024")</f>
        <v/>
      </c>
      <c r="AA17">
        <f>HYPERLINK("https://klasma.github.io/Logging_1384/klagomål/A 9527-2024 FSC-klagomål.docx", "A 9527-2024")</f>
        <v/>
      </c>
      <c r="AB17">
        <f>HYPERLINK("https://klasma.github.io/Logging_1384/klagomålsmail/A 9527-2024 FSC-klagomål mail.docx", "A 9527-2024")</f>
        <v/>
      </c>
      <c r="AC17">
        <f>HYPERLINK("https://klasma.github.io/Logging_1384/tillsyn/A 9527-2024 tillsynsbegäran.docx", "A 9527-2024")</f>
        <v/>
      </c>
      <c r="AD17">
        <f>HYPERLINK("https://klasma.github.io/Logging_1384/tillsynsmail/A 9527-2024 tillsynsbegäran mail.docx", "A 9527-2024")</f>
        <v/>
      </c>
    </row>
    <row r="18" ht="15" customHeight="1">
      <c r="A18" t="inlineStr">
        <is>
          <t>A 9548-2024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45359</v>
      </c>
      <c r="E18" s="1" t="n">
        <v>46312</v>
      </c>
      <c r="F18" t="inlineStr">
        <is>
          <t>HALLANDS LÄN</t>
        </is>
      </c>
      <c r="G18" t="inlineStr">
        <is>
          <t>KUNGSBACKA</t>
        </is>
      </c>
      <c r="I18" t="n">
        <v>0.3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Stor aspticka</t>
        </is>
      </c>
      <c r="W18">
        <f>HYPERLINK("https://klasma.github.io/Logging_1384/artfynd/A 9548-2024 artfynd.xlsx", "A 9548-2024")</f>
        <v/>
      </c>
      <c r="X18">
        <f>HYPERLINK("https://klasma.github.io/Logging_1384/kartor/A 9548-2024 karta.png", "A 9548-2024")</f>
        <v/>
      </c>
      <c r="Y18">
        <f>HYPERLINK("https://klasma.github.io/Logging_1384/kartor_geotiff/A 9548-2024 georefererad karta.tif", "A 9548-2024")</f>
        <v/>
      </c>
      <c r="AA18">
        <f>HYPERLINK("https://klasma.github.io/Logging_1384/klagomål/A 9548-2024 FSC-klagomål.docx", "A 9548-2024")</f>
        <v/>
      </c>
      <c r="AB18">
        <f>HYPERLINK("https://klasma.github.io/Logging_1384/klagomålsmail/A 9548-2024 FSC-klagomål mail.docx", "A 9548-2024")</f>
        <v/>
      </c>
      <c r="AC18">
        <f>HYPERLINK("https://klasma.github.io/Logging_1384/tillsyn/A 9548-2024 tillsynsbegäran.docx", "A 9548-2024")</f>
        <v/>
      </c>
      <c r="AD18">
        <f>HYPERLINK("https://klasma.github.io/Logging_1384/tillsynsmail/A 9548-2024 tillsynsbegäran mail.docx", "A 9548-2024")</f>
        <v/>
      </c>
    </row>
    <row r="19" ht="15" customHeight="1">
      <c r="A19" t="inlineStr">
        <is>
          <t>A 21721-2023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45065</v>
      </c>
      <c r="E19" s="1" t="n">
        <v>46312</v>
      </c>
      <c r="F19" t="inlineStr">
        <is>
          <t>HALLANDS LÄN</t>
        </is>
      </c>
      <c r="G19" t="inlineStr">
        <is>
          <t>KUNGSBACKA</t>
        </is>
      </c>
      <c r="I19" t="n">
        <v>1.7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s="2" t="inlineStr">
        <is>
          <t>Knärot</t>
        </is>
      </c>
      <c r="W19">
        <f>HYPERLINK("https://klasma.github.io/Logging_1384/artfynd/A 21721-2023 artfynd.xlsx", "A 21721-2023")</f>
        <v/>
      </c>
      <c r="X19">
        <f>HYPERLINK("https://klasma.github.io/Logging_1384/kartor/A 21721-2023 karta.png", "A 21721-2023")</f>
        <v/>
      </c>
      <c r="Y19">
        <f>HYPERLINK("https://klasma.github.io/Logging_1384/kartor_geotiff/A 21721-2023 georefererad karta.tif", "A 21721-2023")</f>
        <v/>
      </c>
      <c r="Z19">
        <f>HYPERLINK("https://klasma.github.io/Logging_1384/knärot/A 21721-2023 karta knärot.png", "A 21721-2023")</f>
        <v/>
      </c>
      <c r="AA19">
        <f>HYPERLINK("https://klasma.github.io/Logging_1384/klagomål/A 21721-2023 FSC-klagomål.docx", "A 21721-2023")</f>
        <v/>
      </c>
      <c r="AB19">
        <f>HYPERLINK("https://klasma.github.io/Logging_1384/klagomålsmail/A 21721-2023 FSC-klagomål mail.docx", "A 21721-2023")</f>
        <v/>
      </c>
      <c r="AC19">
        <f>HYPERLINK("https://klasma.github.io/Logging_1384/tillsyn/A 21721-2023 tillsynsbegäran.docx", "A 21721-2023")</f>
        <v/>
      </c>
      <c r="AD19">
        <f>HYPERLINK("https://klasma.github.io/Logging_1384/tillsynsmail/A 21721-2023 tillsynsbegäran mail.docx", "A 21721-2023")</f>
        <v/>
      </c>
    </row>
    <row r="20" ht="15" customHeight="1">
      <c r="A20" t="inlineStr">
        <is>
          <t>A 3281-2025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45679</v>
      </c>
      <c r="E20" s="1" t="n">
        <v>46312</v>
      </c>
      <c r="F20" t="inlineStr">
        <is>
          <t>HALLANDS LÄN</t>
        </is>
      </c>
      <c r="G20" t="inlineStr">
        <is>
          <t>KUNGSBACKA</t>
        </is>
      </c>
      <c r="I20" t="n">
        <v>10.8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Kambräken</t>
        </is>
      </c>
      <c r="W20">
        <f>HYPERLINK("https://klasma.github.io/Logging_1384/artfynd/A 3281-2025 artfynd.xlsx", "A 3281-2025")</f>
        <v/>
      </c>
      <c r="X20">
        <f>HYPERLINK("https://klasma.github.io/Logging_1384/kartor/A 3281-2025 karta.png", "A 3281-2025")</f>
        <v/>
      </c>
      <c r="Y20">
        <f>HYPERLINK("https://klasma.github.io/Logging_1384/kartor_geotiff/A 3281-2025 georefererad karta.tif", "A 3281-2025")</f>
        <v/>
      </c>
      <c r="AA20">
        <f>HYPERLINK("https://klasma.github.io/Logging_1384/klagomål/A 3281-2025 FSC-klagomål.docx", "A 3281-2025")</f>
        <v/>
      </c>
      <c r="AB20">
        <f>HYPERLINK("https://klasma.github.io/Logging_1384/klagomålsmail/A 3281-2025 FSC-klagomål mail.docx", "A 3281-2025")</f>
        <v/>
      </c>
      <c r="AC20">
        <f>HYPERLINK("https://klasma.github.io/Logging_1384/tillsyn/A 3281-2025 tillsynsbegäran.docx", "A 3281-2025")</f>
        <v/>
      </c>
      <c r="AD20">
        <f>HYPERLINK("https://klasma.github.io/Logging_1384/tillsynsmail/A 3281-2025 tillsynsbegäran mail.docx", "A 3281-2025")</f>
        <v/>
      </c>
    </row>
    <row r="21" ht="15" customHeight="1">
      <c r="A21" t="inlineStr">
        <is>
          <t>A 11154-2022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44629</v>
      </c>
      <c r="E21" s="1" t="n">
        <v>46312</v>
      </c>
      <c r="F21" t="inlineStr">
        <is>
          <t>HALLANDS LÄN</t>
        </is>
      </c>
      <c r="G21" t="inlineStr">
        <is>
          <t>KUNGSBACKA</t>
        </is>
      </c>
      <c r="I21" t="n">
        <v>2.6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Röd glada</t>
        </is>
      </c>
      <c r="W21">
        <f>HYPERLINK("https://klasma.github.io/Logging_1384/artfynd/A 11154-2022 artfynd.xlsx", "A 11154-2022")</f>
        <v/>
      </c>
      <c r="X21">
        <f>HYPERLINK("https://klasma.github.io/Logging_1384/kartor/A 11154-2022 karta.png", "A 11154-2022")</f>
        <v/>
      </c>
      <c r="Y21">
        <f>HYPERLINK("https://klasma.github.io/Logging_1384/kartor_geotiff/A 11154-2022 georefererad karta.tif", "A 11154-2022")</f>
        <v/>
      </c>
      <c r="AA21">
        <f>HYPERLINK("https://klasma.github.io/Logging_1384/klagomål/A 11154-2022 FSC-klagomål.docx", "A 11154-2022")</f>
        <v/>
      </c>
      <c r="AB21">
        <f>HYPERLINK("https://klasma.github.io/Logging_1384/klagomålsmail/A 11154-2022 FSC-klagomål mail.docx", "A 11154-2022")</f>
        <v/>
      </c>
      <c r="AC21">
        <f>HYPERLINK("https://klasma.github.io/Logging_1384/tillsyn/A 11154-2022 tillsynsbegäran.docx", "A 11154-2022")</f>
        <v/>
      </c>
      <c r="AD21">
        <f>HYPERLINK("https://klasma.github.io/Logging_1384/tillsynsmail/A 11154-2022 tillsynsbegäran mail.docx", "A 11154-2022")</f>
        <v/>
      </c>
      <c r="AE21">
        <f>HYPERLINK("https://klasma.github.io/Logging_1384/fåglar/A 11154-2022 prioriterade fågelarter.docx", "A 11154-2022")</f>
        <v/>
      </c>
    </row>
    <row r="22" ht="15" customHeight="1">
      <c r="A22" t="inlineStr">
        <is>
          <t>A 7801-2025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45706</v>
      </c>
      <c r="E22" s="1" t="n">
        <v>46312</v>
      </c>
      <c r="F22" t="inlineStr">
        <is>
          <t>HALLANDS LÄN</t>
        </is>
      </c>
      <c r="G22" t="inlineStr">
        <is>
          <t>KUNGSBACKA</t>
        </is>
      </c>
      <c r="I22" t="n">
        <v>6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s="2" t="inlineStr">
        <is>
          <t>Hasselmus</t>
        </is>
      </c>
      <c r="W22">
        <f>HYPERLINK("https://klasma.github.io/Logging_1384/artfynd/A 7801-2025 artfynd.xlsx", "A 7801-2025")</f>
        <v/>
      </c>
      <c r="X22">
        <f>HYPERLINK("https://klasma.github.io/Logging_1384/kartor/A 7801-2025 karta.png", "A 7801-2025")</f>
        <v/>
      </c>
      <c r="Y22">
        <f>HYPERLINK("https://klasma.github.io/Logging_1384/kartor_geotiff/A 7801-2025 georefererad karta.tif", "A 7801-2025")</f>
        <v/>
      </c>
      <c r="AA22">
        <f>HYPERLINK("https://klasma.github.io/Logging_1384/klagomål/A 7801-2025 FSC-klagomål.docx", "A 7801-2025")</f>
        <v/>
      </c>
      <c r="AB22">
        <f>HYPERLINK("https://klasma.github.io/Logging_1384/klagomålsmail/A 7801-2025 FSC-klagomål mail.docx", "A 7801-2025")</f>
        <v/>
      </c>
      <c r="AC22">
        <f>HYPERLINK("https://klasma.github.io/Logging_1384/tillsyn/A 7801-2025 tillsynsbegäran.docx", "A 7801-2025")</f>
        <v/>
      </c>
      <c r="AD22">
        <f>HYPERLINK("https://klasma.github.io/Logging_1384/tillsynsmail/A 7801-2025 tillsynsbegäran mail.docx", "A 7801-2025")</f>
        <v/>
      </c>
    </row>
    <row r="23" ht="15" customHeight="1">
      <c r="A23" t="inlineStr">
        <is>
          <t>A 11010-2025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45723</v>
      </c>
      <c r="E23" s="1" t="n">
        <v>46312</v>
      </c>
      <c r="F23" t="inlineStr">
        <is>
          <t>HALLANDS LÄN</t>
        </is>
      </c>
      <c r="G23" t="inlineStr">
        <is>
          <t>KUNGSBACKA</t>
        </is>
      </c>
      <c r="I23" t="n">
        <v>12.4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Kambräken</t>
        </is>
      </c>
      <c r="W23">
        <f>HYPERLINK("https://klasma.github.io/Logging_1384/artfynd/A 11010-2025 artfynd.xlsx", "A 11010-2025")</f>
        <v/>
      </c>
      <c r="X23">
        <f>HYPERLINK("https://klasma.github.io/Logging_1384/kartor/A 11010-2025 karta.png", "A 11010-2025")</f>
        <v/>
      </c>
      <c r="Y23">
        <f>HYPERLINK("https://klasma.github.io/Logging_1384/kartor_geotiff/A 11010-2025 georefererad karta.tif", "A 11010-2025")</f>
        <v/>
      </c>
      <c r="AA23">
        <f>HYPERLINK("https://klasma.github.io/Logging_1384/klagomål/A 11010-2025 FSC-klagomål.docx", "A 11010-2025")</f>
        <v/>
      </c>
      <c r="AB23">
        <f>HYPERLINK("https://klasma.github.io/Logging_1384/klagomålsmail/A 11010-2025 FSC-klagomål mail.docx", "A 11010-2025")</f>
        <v/>
      </c>
      <c r="AC23">
        <f>HYPERLINK("https://klasma.github.io/Logging_1384/tillsyn/A 11010-2025 tillsynsbegäran.docx", "A 11010-2025")</f>
        <v/>
      </c>
      <c r="AD23">
        <f>HYPERLINK("https://klasma.github.io/Logging_1384/tillsynsmail/A 11010-2025 tillsynsbegäran mail.docx", "A 11010-2025")</f>
        <v/>
      </c>
    </row>
    <row r="24" ht="15" customHeight="1">
      <c r="A24" t="inlineStr">
        <is>
          <t>A 1765-2023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44936</v>
      </c>
      <c r="E24" s="1" t="n">
        <v>46312</v>
      </c>
      <c r="F24" t="inlineStr">
        <is>
          <t>HALLANDS LÄN</t>
        </is>
      </c>
      <c r="G24" t="inlineStr">
        <is>
          <t>KUNGSBACKA</t>
        </is>
      </c>
      <c r="I24" t="n">
        <v>7.3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Blomkålssvamp</t>
        </is>
      </c>
      <c r="W24">
        <f>HYPERLINK("https://klasma.github.io/Logging_1384/artfynd/A 1765-2023 artfynd.xlsx", "A 1765-2023")</f>
        <v/>
      </c>
      <c r="X24">
        <f>HYPERLINK("https://klasma.github.io/Logging_1384/kartor/A 1765-2023 karta.png", "A 1765-2023")</f>
        <v/>
      </c>
      <c r="Y24">
        <f>HYPERLINK("https://klasma.github.io/Logging_1384/kartor_geotiff/A 1765-2023 georefererad karta.tif", "A 1765-2023")</f>
        <v/>
      </c>
      <c r="AA24">
        <f>HYPERLINK("https://klasma.github.io/Logging_1384/klagomål/A 1765-2023 FSC-klagomål.docx", "A 1765-2023")</f>
        <v/>
      </c>
      <c r="AB24">
        <f>HYPERLINK("https://klasma.github.io/Logging_1384/klagomålsmail/A 1765-2023 FSC-klagomål mail.docx", "A 1765-2023")</f>
        <v/>
      </c>
      <c r="AC24">
        <f>HYPERLINK("https://klasma.github.io/Logging_1384/tillsyn/A 1765-2023 tillsynsbegäran.docx", "A 1765-2023")</f>
        <v/>
      </c>
      <c r="AD24">
        <f>HYPERLINK("https://klasma.github.io/Logging_1384/tillsynsmail/A 1765-2023 tillsynsbegäran mail.docx", "A 1765-2023")</f>
        <v/>
      </c>
    </row>
    <row r="25" ht="15" customHeight="1">
      <c r="A25" t="inlineStr">
        <is>
          <t>A 18150-2026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46125</v>
      </c>
      <c r="E25" s="1" t="n">
        <v>46312</v>
      </c>
      <c r="F25" t="inlineStr">
        <is>
          <t>HALLANDS LÄN</t>
        </is>
      </c>
      <c r="G25" t="inlineStr">
        <is>
          <t>KUNGSBACKA</t>
        </is>
      </c>
      <c r="I25" t="n">
        <v>1.7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s="2" t="inlineStr">
        <is>
          <t>Järnek</t>
        </is>
      </c>
      <c r="W25">
        <f>HYPERLINK("https://klasma.github.io/Logging_1384/artfynd/A 18150-2026 artfynd.xlsx", "A 18150-2026")</f>
        <v/>
      </c>
      <c r="X25">
        <f>HYPERLINK("https://klasma.github.io/Logging_1384/kartor/A 18150-2026 karta.png", "A 18150-2026")</f>
        <v/>
      </c>
      <c r="Y25">
        <f>HYPERLINK("https://klasma.github.io/Logging_1384/kartor_geotiff/A 18150-2026 georefererad karta.tif", "A 18150-2026")</f>
        <v/>
      </c>
      <c r="AA25">
        <f>HYPERLINK("https://klasma.github.io/Logging_1384/klagomål/A 18150-2026 FSC-klagomål.docx", "A 18150-2026")</f>
        <v/>
      </c>
      <c r="AB25">
        <f>HYPERLINK("https://klasma.github.io/Logging_1384/klagomålsmail/A 18150-2026 FSC-klagomål mail.docx", "A 18150-2026")</f>
        <v/>
      </c>
      <c r="AC25">
        <f>HYPERLINK("https://klasma.github.io/Logging_1384/tillsyn/A 18150-2026 tillsynsbegäran.docx", "A 18150-2026")</f>
        <v/>
      </c>
      <c r="AD25">
        <f>HYPERLINK("https://klasma.github.io/Logging_1384/tillsynsmail/A 18150-2026 tillsynsbegäran mail.docx", "A 18150-2026")</f>
        <v/>
      </c>
    </row>
    <row r="26" ht="15" customHeight="1">
      <c r="A26" t="inlineStr">
        <is>
          <t>A 44638-2022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44840</v>
      </c>
      <c r="E26" s="1" t="n">
        <v>46312</v>
      </c>
      <c r="F26" t="inlineStr">
        <is>
          <t>HALLANDS LÄN</t>
        </is>
      </c>
      <c r="G26" t="inlineStr">
        <is>
          <t>KUNGSBACKA</t>
        </is>
      </c>
      <c r="H26" t="inlineStr">
        <is>
          <t>Kommuner</t>
        </is>
      </c>
      <c r="I26" t="n">
        <v>11.8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Spillkråka</t>
        </is>
      </c>
      <c r="W26">
        <f>HYPERLINK("https://klasma.github.io/Logging_1384/artfynd/A 44638-2022 artfynd.xlsx", "A 44638-2022")</f>
        <v/>
      </c>
      <c r="X26">
        <f>HYPERLINK("https://klasma.github.io/Logging_1384/kartor/A 44638-2022 karta.png", "A 44638-2022")</f>
        <v/>
      </c>
      <c r="Y26">
        <f>HYPERLINK("https://klasma.github.io/Logging_1384/kartor_geotiff/A 44638-2022 georefererad karta.tif", "A 44638-2022")</f>
        <v/>
      </c>
      <c r="AA26">
        <f>HYPERLINK("https://klasma.github.io/Logging_1384/klagomål/A 44638-2022 FSC-klagomål.docx", "A 44638-2022")</f>
        <v/>
      </c>
      <c r="AB26">
        <f>HYPERLINK("https://klasma.github.io/Logging_1384/klagomålsmail/A 44638-2022 FSC-klagomål mail.docx", "A 44638-2022")</f>
        <v/>
      </c>
      <c r="AC26">
        <f>HYPERLINK("https://klasma.github.io/Logging_1384/tillsyn/A 44638-2022 tillsynsbegäran.docx", "A 44638-2022")</f>
        <v/>
      </c>
      <c r="AD26">
        <f>HYPERLINK("https://klasma.github.io/Logging_1384/tillsynsmail/A 44638-2022 tillsynsbegäran mail.docx", "A 44638-2022")</f>
        <v/>
      </c>
      <c r="AE26">
        <f>HYPERLINK("https://klasma.github.io/Logging_1384/fåglar/A 44638-2022 prioriterade fågelarter.docx", "A 44638-2022")</f>
        <v/>
      </c>
    </row>
    <row r="27" ht="15" customHeight="1">
      <c r="A27" t="inlineStr">
        <is>
          <t>A 35165-2026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46260</v>
      </c>
      <c r="E27" s="1" t="n">
        <v>46312</v>
      </c>
      <c r="F27" t="inlineStr">
        <is>
          <t>HALLANDS LÄN</t>
        </is>
      </c>
      <c r="G27" t="inlineStr">
        <is>
          <t>KUNGSBACKA</t>
        </is>
      </c>
      <c r="I27" t="n">
        <v>6.3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Kungsfågel</t>
        </is>
      </c>
      <c r="W27">
        <f>HYPERLINK("https://klasma.github.io/Logging_1384/artfynd/A 35165-2026 artfynd.xlsx", "A 35165-2026")</f>
        <v/>
      </c>
      <c r="X27">
        <f>HYPERLINK("https://klasma.github.io/Logging_1384/kartor/A 35165-2026 karta.png", "A 35165-2026")</f>
        <v/>
      </c>
      <c r="Y27">
        <f>HYPERLINK("https://klasma.github.io/Logging_1384/kartor_geotiff/A 35165-2026 georefererad karta.tif", "A 35165-2026")</f>
        <v/>
      </c>
      <c r="AA27">
        <f>HYPERLINK("https://klasma.github.io/Logging_1384/klagomål/A 35165-2026 FSC-klagomål.docx", "A 35165-2026")</f>
        <v/>
      </c>
      <c r="AB27">
        <f>HYPERLINK("https://klasma.github.io/Logging_1384/klagomålsmail/A 35165-2026 FSC-klagomål mail.docx", "A 35165-2026")</f>
        <v/>
      </c>
      <c r="AC27">
        <f>HYPERLINK("https://klasma.github.io/Logging_1384/tillsyn/A 35165-2026 tillsynsbegäran.docx", "A 35165-2026")</f>
        <v/>
      </c>
      <c r="AD27">
        <f>HYPERLINK("https://klasma.github.io/Logging_1384/tillsynsmail/A 35165-2026 tillsynsbegäran mail.docx", "A 35165-2026")</f>
        <v/>
      </c>
    </row>
    <row r="28" ht="15" customHeight="1">
      <c r="A28" t="inlineStr">
        <is>
          <t>A 16076-2025</t>
        </is>
      </c>
      <c r="B28" t="inlineStr">
        <is>
          <t>avverkningsanmälan</t>
        </is>
      </c>
      <c r="C28" t="inlineStr">
        <is>
          <t>Avverkning för annat ändamål</t>
        </is>
      </c>
      <c r="D28" s="1" t="n">
        <v>45749</v>
      </c>
      <c r="E28" s="1" t="n">
        <v>46312</v>
      </c>
      <c r="F28" t="inlineStr">
        <is>
          <t>HALLANDS LÄN</t>
        </is>
      </c>
      <c r="G28" t="inlineStr">
        <is>
          <t>KUNGSBACKA</t>
        </is>
      </c>
      <c r="I28" t="n">
        <v>3.1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Havsörn</t>
        </is>
      </c>
      <c r="W28">
        <f>HYPERLINK("https://klasma.github.io/Logging_1384/artfynd/A 16076-2025 artfynd.xlsx", "A 16076-2025")</f>
        <v/>
      </c>
      <c r="X28">
        <f>HYPERLINK("https://klasma.github.io/Logging_1384/kartor/A 16076-2025 karta.png", "A 16076-2025")</f>
        <v/>
      </c>
      <c r="Y28">
        <f>HYPERLINK("https://klasma.github.io/Logging_1384/kartor_geotiff/A 16076-2025 georefererad karta.tif", "A 16076-2025")</f>
        <v/>
      </c>
      <c r="AA28">
        <f>HYPERLINK("https://klasma.github.io/Logging_1384/klagomål/A 16076-2025 FSC-klagomål.docx", "A 16076-2025")</f>
        <v/>
      </c>
      <c r="AB28">
        <f>HYPERLINK("https://klasma.github.io/Logging_1384/klagomålsmail/A 16076-2025 FSC-klagomål mail.docx", "A 16076-2025")</f>
        <v/>
      </c>
      <c r="AC28">
        <f>HYPERLINK("https://klasma.github.io/Logging_1384/tillsyn/A 16076-2025 tillsynsbegäran.docx", "A 16076-2025")</f>
        <v/>
      </c>
      <c r="AD28">
        <f>HYPERLINK("https://klasma.github.io/Logging_1384/tillsynsmail/A 16076-2025 tillsynsbegäran mail.docx", "A 16076-2025")</f>
        <v/>
      </c>
      <c r="AE28">
        <f>HYPERLINK("https://klasma.github.io/Logging_1384/fåglar/A 16076-2025 prioriterade fågelarter.docx", "A 16076-2025")</f>
        <v/>
      </c>
    </row>
    <row r="29" ht="15" customHeight="1">
      <c r="A29" t="inlineStr">
        <is>
          <t>A 13932-2025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45737</v>
      </c>
      <c r="E29" s="1" t="n">
        <v>46312</v>
      </c>
      <c r="F29" t="inlineStr">
        <is>
          <t>HALLANDS LÄN</t>
        </is>
      </c>
      <c r="G29" t="inlineStr">
        <is>
          <t>KUNGSBACKA</t>
        </is>
      </c>
      <c r="I29" t="n">
        <v>2.5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Blåsippa</t>
        </is>
      </c>
      <c r="W29">
        <f>HYPERLINK("https://klasma.github.io/Logging_1384/artfynd/A 13932-2025 artfynd.xlsx", "A 13932-2025")</f>
        <v/>
      </c>
      <c r="X29">
        <f>HYPERLINK("https://klasma.github.io/Logging_1384/kartor/A 13932-2025 karta.png", "A 13932-2025")</f>
        <v/>
      </c>
      <c r="Y29">
        <f>HYPERLINK("https://klasma.github.io/Logging_1384/kartor_geotiff/A 13932-2025 georefererad karta.tif", "A 13932-2025")</f>
        <v/>
      </c>
      <c r="AA29">
        <f>HYPERLINK("https://klasma.github.io/Logging_1384/klagomål/A 13932-2025 FSC-klagomål.docx", "A 13932-2025")</f>
        <v/>
      </c>
      <c r="AB29">
        <f>HYPERLINK("https://klasma.github.io/Logging_1384/klagomålsmail/A 13932-2025 FSC-klagomål mail.docx", "A 13932-2025")</f>
        <v/>
      </c>
      <c r="AC29">
        <f>HYPERLINK("https://klasma.github.io/Logging_1384/tillsyn/A 13932-2025 tillsynsbegäran.docx", "A 13932-2025")</f>
        <v/>
      </c>
      <c r="AD29">
        <f>HYPERLINK("https://klasma.github.io/Logging_1384/tillsynsmail/A 13932-2025 tillsynsbegäran mail.docx", "A 13932-2025")</f>
        <v/>
      </c>
    </row>
    <row r="30" ht="15" customHeight="1">
      <c r="A30" t="inlineStr">
        <is>
          <t>A 7718-2025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45706</v>
      </c>
      <c r="E30" s="1" t="n">
        <v>46312</v>
      </c>
      <c r="F30" t="inlineStr">
        <is>
          <t>HALLANDS LÄN</t>
        </is>
      </c>
      <c r="G30" t="inlineStr">
        <is>
          <t>KUNGSBACKA</t>
        </is>
      </c>
      <c r="I30" t="n">
        <v>0.7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Gulsparv</t>
        </is>
      </c>
      <c r="W30">
        <f>HYPERLINK("https://klasma.github.io/Logging_1384/artfynd/A 7718-2025 artfynd.xlsx", "A 7718-2025")</f>
        <v/>
      </c>
      <c r="X30">
        <f>HYPERLINK("https://klasma.github.io/Logging_1384/kartor/A 7718-2025 karta.png", "A 7718-2025")</f>
        <v/>
      </c>
      <c r="Y30">
        <f>HYPERLINK("https://klasma.github.io/Logging_1384/kartor_geotiff/A 7718-2025 georefererad karta.tif", "A 7718-2025")</f>
        <v/>
      </c>
      <c r="AA30">
        <f>HYPERLINK("https://klasma.github.io/Logging_1384/klagomål/A 7718-2025 FSC-klagomål.docx", "A 7718-2025")</f>
        <v/>
      </c>
      <c r="AB30">
        <f>HYPERLINK("https://klasma.github.io/Logging_1384/klagomålsmail/A 7718-2025 FSC-klagomål mail.docx", "A 7718-2025")</f>
        <v/>
      </c>
      <c r="AC30">
        <f>HYPERLINK("https://klasma.github.io/Logging_1384/tillsyn/A 7718-2025 tillsynsbegäran.docx", "A 7718-2025")</f>
        <v/>
      </c>
      <c r="AD30">
        <f>HYPERLINK("https://klasma.github.io/Logging_1384/tillsynsmail/A 7718-2025 tillsynsbegäran mail.docx", "A 7718-2025")</f>
        <v/>
      </c>
      <c r="AE30">
        <f>HYPERLINK("https://klasma.github.io/Logging_1384/fåglar/A 7718-2025 prioriterade fågelarter.docx", "A 7718-2025")</f>
        <v/>
      </c>
    </row>
    <row r="31" ht="15" customHeight="1">
      <c r="A31" t="inlineStr">
        <is>
          <t>A 36670-2022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44804</v>
      </c>
      <c r="E31" s="1" t="n">
        <v>46312</v>
      </c>
      <c r="F31" t="inlineStr">
        <is>
          <t>HALLANDS LÄN</t>
        </is>
      </c>
      <c r="G31" t="inlineStr">
        <is>
          <t>KUNGSBACKA</t>
        </is>
      </c>
      <c r="I31" t="n">
        <v>4.1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70634-2021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44537</v>
      </c>
      <c r="E32" s="1" t="n">
        <v>46312</v>
      </c>
      <c r="F32" t="inlineStr">
        <is>
          <t>HALLANDS LÄN</t>
        </is>
      </c>
      <c r="G32" t="inlineStr">
        <is>
          <t>KUNGSBACKA</t>
        </is>
      </c>
      <c r="I32" t="n">
        <v>0.8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47401-2022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44853</v>
      </c>
      <c r="E33" s="1" t="n">
        <v>46312</v>
      </c>
      <c r="F33" t="inlineStr">
        <is>
          <t>HALLANDS LÄN</t>
        </is>
      </c>
      <c r="G33" t="inlineStr">
        <is>
          <t>KUNGSBACKA</t>
        </is>
      </c>
      <c r="I33" t="n">
        <v>0.6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8640-2022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44613</v>
      </c>
      <c r="E34" s="1" t="n">
        <v>46312</v>
      </c>
      <c r="F34" t="inlineStr">
        <is>
          <t>HALLANDS LÄN</t>
        </is>
      </c>
      <c r="G34" t="inlineStr">
        <is>
          <t>KUNGSBACKA</t>
        </is>
      </c>
      <c r="I34" t="n">
        <v>6.6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71687-2021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44539</v>
      </c>
      <c r="E35" s="1" t="n">
        <v>46312</v>
      </c>
      <c r="F35" t="inlineStr">
        <is>
          <t>HALLANDS LÄN</t>
        </is>
      </c>
      <c r="G35" t="inlineStr">
        <is>
          <t>KUNGSBACKA</t>
        </is>
      </c>
      <c r="I35" t="n">
        <v>4.1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26979-2022</t>
        </is>
      </c>
      <c r="B36" t="inlineStr">
        <is>
          <t>avverkningsanmälan</t>
        </is>
      </c>
      <c r="C36" t="inlineStr">
        <is>
          <t>Avverkning för annat ändamål</t>
        </is>
      </c>
      <c r="D36" s="1" t="n">
        <v>44740</v>
      </c>
      <c r="E36" s="1" t="n">
        <v>46312</v>
      </c>
      <c r="F36" t="inlineStr">
        <is>
          <t>HALLANDS LÄN</t>
        </is>
      </c>
      <c r="G36" t="inlineStr">
        <is>
          <t>KUNGSBACKA</t>
        </is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30885-2022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44767</v>
      </c>
      <c r="E37" s="1" t="n">
        <v>46312</v>
      </c>
      <c r="F37" t="inlineStr">
        <is>
          <t>HALLANDS LÄN</t>
        </is>
      </c>
      <c r="G37" t="inlineStr">
        <is>
          <t>KUNGSBACKA</t>
        </is>
      </c>
      <c r="I37" t="n">
        <v>0.6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63966-2021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44509</v>
      </c>
      <c r="E38" s="1" t="n">
        <v>46312</v>
      </c>
      <c r="F38" t="inlineStr">
        <is>
          <t>HALLANDS LÄN</t>
        </is>
      </c>
      <c r="G38" t="inlineStr">
        <is>
          <t>KUNGSBACKA</t>
        </is>
      </c>
      <c r="I38" t="n">
        <v>1.1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40582-2022</t>
        </is>
      </c>
      <c r="B39" t="inlineStr">
        <is>
          <t>avverkningsanmälan</t>
        </is>
      </c>
      <c r="C39" t="inlineStr">
        <is>
          <t>Avverkning för annat ändamål</t>
        </is>
      </c>
      <c r="D39" s="1" t="n">
        <v>44819</v>
      </c>
      <c r="E39" s="1" t="n">
        <v>46312</v>
      </c>
      <c r="F39" t="inlineStr">
        <is>
          <t>HALLANDS LÄN</t>
        </is>
      </c>
      <c r="G39" t="inlineStr">
        <is>
          <t>KUNGSBACKA</t>
        </is>
      </c>
      <c r="I39" t="n">
        <v>4.1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70904-2021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44538</v>
      </c>
      <c r="E40" s="1" t="n">
        <v>46312</v>
      </c>
      <c r="F40" t="inlineStr">
        <is>
          <t>HALLANDS LÄN</t>
        </is>
      </c>
      <c r="G40" t="inlineStr">
        <is>
          <t>KUNGSBACKA</t>
        </is>
      </c>
      <c r="I40" t="n">
        <v>0.9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58324-2024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45632</v>
      </c>
      <c r="E41" s="1" t="n">
        <v>46312</v>
      </c>
      <c r="F41" t="inlineStr">
        <is>
          <t>HALLANDS LÄN</t>
        </is>
      </c>
      <c r="G41" t="inlineStr">
        <is>
          <t>KUNGSBACKA</t>
        </is>
      </c>
      <c r="I41" t="n">
        <v>0.5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58330-2024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45632</v>
      </c>
      <c r="E42" s="1" t="n">
        <v>46312</v>
      </c>
      <c r="F42" t="inlineStr">
        <is>
          <t>HALLANDS LÄN</t>
        </is>
      </c>
      <c r="G42" t="inlineStr">
        <is>
          <t>KUNGSBACKA</t>
        </is>
      </c>
      <c r="I42" t="n">
        <v>0.8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71891-2021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44543</v>
      </c>
      <c r="E43" s="1" t="n">
        <v>46312</v>
      </c>
      <c r="F43" t="inlineStr">
        <is>
          <t>HALLANDS LÄN</t>
        </is>
      </c>
      <c r="G43" t="inlineStr">
        <is>
          <t>KUNGSBACKA</t>
        </is>
      </c>
      <c r="I43" t="n">
        <v>4.4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64363-2023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45280</v>
      </c>
      <c r="E44" s="1" t="n">
        <v>46312</v>
      </c>
      <c r="F44" t="inlineStr">
        <is>
          <t>HALLANDS LÄN</t>
        </is>
      </c>
      <c r="G44" t="inlineStr">
        <is>
          <t>KUNGSBACKA</t>
        </is>
      </c>
      <c r="I44" t="n">
        <v>0.7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49492-2024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45596</v>
      </c>
      <c r="E45" s="1" t="n">
        <v>46312</v>
      </c>
      <c r="F45" t="inlineStr">
        <is>
          <t>HALLANDS LÄN</t>
        </is>
      </c>
      <c r="G45" t="inlineStr">
        <is>
          <t>KUNGSBACKA</t>
        </is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5201-2024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45330</v>
      </c>
      <c r="E46" s="1" t="n">
        <v>46312</v>
      </c>
      <c r="F46" t="inlineStr">
        <is>
          <t>HALLANDS LÄN</t>
        </is>
      </c>
      <c r="G46" t="inlineStr">
        <is>
          <t>KUNGSBACKA</t>
        </is>
      </c>
      <c r="I46" t="n">
        <v>6.7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6978-2023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44967</v>
      </c>
      <c r="E47" s="1" t="n">
        <v>46312</v>
      </c>
      <c r="F47" t="inlineStr">
        <is>
          <t>HALLANDS LÄN</t>
        </is>
      </c>
      <c r="G47" t="inlineStr">
        <is>
          <t>KUNGSBACKA</t>
        </is>
      </c>
      <c r="I47" t="n">
        <v>0.8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9965-2025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45719</v>
      </c>
      <c r="E48" s="1" t="n">
        <v>46312</v>
      </c>
      <c r="F48" t="inlineStr">
        <is>
          <t>HALLANDS LÄN</t>
        </is>
      </c>
      <c r="G48" t="inlineStr">
        <is>
          <t>KUNGSBACKA</t>
        </is>
      </c>
      <c r="I48" t="n">
        <v>2.8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9976-2025</t>
        </is>
      </c>
      <c r="B49" t="inlineStr">
        <is>
          <t>avverkningsanmälan</t>
        </is>
      </c>
      <c r="C49" t="inlineStr">
        <is>
          <t>Avverkning för annat ändamål</t>
        </is>
      </c>
      <c r="D49" s="1" t="n">
        <v>45719</v>
      </c>
      <c r="E49" s="1" t="n">
        <v>46312</v>
      </c>
      <c r="F49" t="inlineStr">
        <is>
          <t>HALLANDS LÄN</t>
        </is>
      </c>
      <c r="G49" t="inlineStr">
        <is>
          <t>KUNGSBACKA</t>
        </is>
      </c>
      <c r="I49" t="n">
        <v>0.6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11097-2023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44992</v>
      </c>
      <c r="E50" s="1" t="n">
        <v>46312</v>
      </c>
      <c r="F50" t="inlineStr">
        <is>
          <t>HALLANDS LÄN</t>
        </is>
      </c>
      <c r="G50" t="inlineStr">
        <is>
          <t>KUNGSBACKA</t>
        </is>
      </c>
      <c r="I50" t="n">
        <v>2.2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6260-2022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44600</v>
      </c>
      <c r="E51" s="1" t="n">
        <v>46312</v>
      </c>
      <c r="F51" t="inlineStr">
        <is>
          <t>HALLANDS LÄN</t>
        </is>
      </c>
      <c r="G51" t="inlineStr">
        <is>
          <t>KUNGSBACKA</t>
        </is>
      </c>
      <c r="I51" t="n">
        <v>2.4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9423-2024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45359</v>
      </c>
      <c r="E52" s="1" t="n">
        <v>46312</v>
      </c>
      <c r="F52" t="inlineStr">
        <is>
          <t>HALLANDS LÄN</t>
        </is>
      </c>
      <c r="G52" t="inlineStr">
        <is>
          <t>KUNGSBACKA</t>
        </is>
      </c>
      <c r="I52" t="n">
        <v>0.7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17401-2023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45035</v>
      </c>
      <c r="E53" s="1" t="n">
        <v>46312</v>
      </c>
      <c r="F53" t="inlineStr">
        <is>
          <t>HALLANDS LÄN</t>
        </is>
      </c>
      <c r="G53" t="inlineStr">
        <is>
          <t>KUNGSBACKA</t>
        </is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12831-2025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45733</v>
      </c>
      <c r="E54" s="1" t="n">
        <v>46312</v>
      </c>
      <c r="F54" t="inlineStr">
        <is>
          <t>HALLANDS LÄN</t>
        </is>
      </c>
      <c r="G54" t="inlineStr">
        <is>
          <t>KUNGSBACKA</t>
        </is>
      </c>
      <c r="I54" t="n">
        <v>0.8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61976-2024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45653</v>
      </c>
      <c r="E55" s="1" t="n">
        <v>46312</v>
      </c>
      <c r="F55" t="inlineStr">
        <is>
          <t>HALLANDS LÄN</t>
        </is>
      </c>
      <c r="G55" t="inlineStr">
        <is>
          <t>KUNGSBACKA</t>
        </is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62741-2022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44925</v>
      </c>
      <c r="E56" s="1" t="n">
        <v>46312</v>
      </c>
      <c r="F56" t="inlineStr">
        <is>
          <t>HALLANDS LÄN</t>
        </is>
      </c>
      <c r="G56" t="inlineStr">
        <is>
          <t>KUNGSBACKA</t>
        </is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62743-2022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44925</v>
      </c>
      <c r="E57" s="1" t="n">
        <v>46312</v>
      </c>
      <c r="F57" t="inlineStr">
        <is>
          <t>HALLANDS LÄN</t>
        </is>
      </c>
      <c r="G57" t="inlineStr">
        <is>
          <t>KUNGSBACKA</t>
        </is>
      </c>
      <c r="I57" t="n">
        <v>0.4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9417-2023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44981</v>
      </c>
      <c r="E58" s="1" t="n">
        <v>46312</v>
      </c>
      <c r="F58" t="inlineStr">
        <is>
          <t>HALLANDS LÄN</t>
        </is>
      </c>
      <c r="G58" t="inlineStr">
        <is>
          <t>KUNGSBACKA</t>
        </is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51-2025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45659</v>
      </c>
      <c r="E59" s="1" t="n">
        <v>46312</v>
      </c>
      <c r="F59" t="inlineStr">
        <is>
          <t>HALLANDS LÄN</t>
        </is>
      </c>
      <c r="G59" t="inlineStr">
        <is>
          <t>KUNGSBACKA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16045-2025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45749</v>
      </c>
      <c r="E60" s="1" t="n">
        <v>46312</v>
      </c>
      <c r="F60" t="inlineStr">
        <is>
          <t>HALLANDS LÄN</t>
        </is>
      </c>
      <c r="G60" t="inlineStr">
        <is>
          <t>KUNGSBACKA</t>
        </is>
      </c>
      <c r="I60" t="n">
        <v>0.7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10269-2023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44986</v>
      </c>
      <c r="E61" s="1" t="n">
        <v>46312</v>
      </c>
      <c r="F61" t="inlineStr">
        <is>
          <t>HALLANDS LÄN</t>
        </is>
      </c>
      <c r="G61" t="inlineStr">
        <is>
          <t>KUNGSBACKA</t>
        </is>
      </c>
      <c r="I61" t="n">
        <v>1.3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44353-2023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45188</v>
      </c>
      <c r="E62" s="1" t="n">
        <v>46312</v>
      </c>
      <c r="F62" t="inlineStr">
        <is>
          <t>HALLANDS LÄN</t>
        </is>
      </c>
      <c r="G62" t="inlineStr">
        <is>
          <t>KUNGSBACKA</t>
        </is>
      </c>
      <c r="I62" t="n">
        <v>4.8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11310-2024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45371</v>
      </c>
      <c r="E63" s="1" t="n">
        <v>46312</v>
      </c>
      <c r="F63" t="inlineStr">
        <is>
          <t>HALLANDS LÄN</t>
        </is>
      </c>
      <c r="G63" t="inlineStr">
        <is>
          <t>KUNGSBACKA</t>
        </is>
      </c>
      <c r="I63" t="n">
        <v>2.1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15163-2024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45400</v>
      </c>
      <c r="E64" s="1" t="n">
        <v>46312</v>
      </c>
      <c r="F64" t="inlineStr">
        <is>
          <t>HALLANDS LÄN</t>
        </is>
      </c>
      <c r="G64" t="inlineStr">
        <is>
          <t>KUNGSBACKA</t>
        </is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8677-2022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44613</v>
      </c>
      <c r="E65" s="1" t="n">
        <v>46312</v>
      </c>
      <c r="F65" t="inlineStr">
        <is>
          <t>HALLANDS LÄN</t>
        </is>
      </c>
      <c r="G65" t="inlineStr">
        <is>
          <t>KUNGSBACKA</t>
        </is>
      </c>
      <c r="I65" t="n">
        <v>3.5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24964-2024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45461</v>
      </c>
      <c r="E66" s="1" t="n">
        <v>46312</v>
      </c>
      <c r="F66" t="inlineStr">
        <is>
          <t>HALLANDS LÄN</t>
        </is>
      </c>
      <c r="G66" t="inlineStr">
        <is>
          <t>KUNGSBACKA</t>
        </is>
      </c>
      <c r="H66" t="inlineStr">
        <is>
          <t>Kommuner</t>
        </is>
      </c>
      <c r="I66" t="n">
        <v>3.2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10664-2025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45721</v>
      </c>
      <c r="E67" s="1" t="n">
        <v>46312</v>
      </c>
      <c r="F67" t="inlineStr">
        <is>
          <t>HALLANDS LÄN</t>
        </is>
      </c>
      <c r="G67" t="inlineStr">
        <is>
          <t>KUNGSBACKA</t>
        </is>
      </c>
      <c r="I67" t="n">
        <v>15.2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35811-2024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45532</v>
      </c>
      <c r="E68" s="1" t="n">
        <v>46312</v>
      </c>
      <c r="F68" t="inlineStr">
        <is>
          <t>HALLANDS LÄN</t>
        </is>
      </c>
      <c r="G68" t="inlineStr">
        <is>
          <t>KUNGSBACKA</t>
        </is>
      </c>
      <c r="I68" t="n">
        <v>2.5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56293-2023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45242</v>
      </c>
      <c r="E69" s="1" t="n">
        <v>46312</v>
      </c>
      <c r="F69" t="inlineStr">
        <is>
          <t>HALLANDS LÄN</t>
        </is>
      </c>
      <c r="G69" t="inlineStr">
        <is>
          <t>KUNGSBACKA</t>
        </is>
      </c>
      <c r="I69" t="n">
        <v>1.1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56294-2023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45242</v>
      </c>
      <c r="E70" s="1" t="n">
        <v>46312</v>
      </c>
      <c r="F70" t="inlineStr">
        <is>
          <t>HALLANDS LÄN</t>
        </is>
      </c>
      <c r="G70" t="inlineStr">
        <is>
          <t>KUNGSBACKA</t>
        </is>
      </c>
      <c r="I70" t="n">
        <v>0.7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11432-2025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45726</v>
      </c>
      <c r="E71" s="1" t="n">
        <v>46312</v>
      </c>
      <c r="F71" t="inlineStr">
        <is>
          <t>HALLANDS LÄN</t>
        </is>
      </c>
      <c r="G71" t="inlineStr">
        <is>
          <t>KUNGSBACKA</t>
        </is>
      </c>
      <c r="I71" t="n">
        <v>1.1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14898-2023</t>
        </is>
      </c>
      <c r="B72" t="inlineStr">
        <is>
          <t>avverkningsanmälan</t>
        </is>
      </c>
      <c r="C72" t="inlineStr">
        <is>
          <t>Avverkning för annat ändamål</t>
        </is>
      </c>
      <c r="D72" s="1" t="n">
        <v>45014</v>
      </c>
      <c r="E72" s="1" t="n">
        <v>46312</v>
      </c>
      <c r="F72" t="inlineStr">
        <is>
          <t>HALLANDS LÄN</t>
        </is>
      </c>
      <c r="G72" t="inlineStr">
        <is>
          <t>KUNGSBACKA</t>
        </is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15061-2025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45743</v>
      </c>
      <c r="E73" s="1" t="n">
        <v>46312</v>
      </c>
      <c r="F73" t="inlineStr">
        <is>
          <t>HALLANDS LÄN</t>
        </is>
      </c>
      <c r="G73" t="inlineStr">
        <is>
          <t>KUNGSBACKA</t>
        </is>
      </c>
      <c r="I73" t="n">
        <v>0.6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22589-2023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45071</v>
      </c>
      <c r="E74" s="1" t="n">
        <v>46312</v>
      </c>
      <c r="F74" t="inlineStr">
        <is>
          <t>HALLANDS LÄN</t>
        </is>
      </c>
      <c r="G74" t="inlineStr">
        <is>
          <t>KUNGSBACKA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10949-2024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45370</v>
      </c>
      <c r="E75" s="1" t="n">
        <v>46312</v>
      </c>
      <c r="F75" t="inlineStr">
        <is>
          <t>HALLANDS LÄN</t>
        </is>
      </c>
      <c r="G75" t="inlineStr">
        <is>
          <t>KUNGSBACKA</t>
        </is>
      </c>
      <c r="I75" t="n">
        <v>0.4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58118-2021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44487</v>
      </c>
      <c r="E76" s="1" t="n">
        <v>46312</v>
      </c>
      <c r="F76" t="inlineStr">
        <is>
          <t>HALLANDS LÄN</t>
        </is>
      </c>
      <c r="G76" t="inlineStr">
        <is>
          <t>KUNGSBACKA</t>
        </is>
      </c>
      <c r="I76" t="n">
        <v>0.5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28036-2023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45099</v>
      </c>
      <c r="E77" s="1" t="n">
        <v>46312</v>
      </c>
      <c r="F77" t="inlineStr">
        <is>
          <t>HALLANDS LÄN</t>
        </is>
      </c>
      <c r="G77" t="inlineStr">
        <is>
          <t>KUNGSBACKA</t>
        </is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62141-2024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45656</v>
      </c>
      <c r="E78" s="1" t="n">
        <v>46312</v>
      </c>
      <c r="F78" t="inlineStr">
        <is>
          <t>HALLANDS LÄN</t>
        </is>
      </c>
      <c r="G78" t="inlineStr">
        <is>
          <t>KUNGSBACKA</t>
        </is>
      </c>
      <c r="I78" t="n">
        <v>0.4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22594-2023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45071</v>
      </c>
      <c r="E79" s="1" t="n">
        <v>46312</v>
      </c>
      <c r="F79" t="inlineStr">
        <is>
          <t>HALLANDS LÄN</t>
        </is>
      </c>
      <c r="G79" t="inlineStr">
        <is>
          <t>KUNGSBACKA</t>
        </is>
      </c>
      <c r="I79" t="n">
        <v>1.4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49489-2024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45596</v>
      </c>
      <c r="E80" s="1" t="n">
        <v>46312</v>
      </c>
      <c r="F80" t="inlineStr">
        <is>
          <t>HALLANDS LÄN</t>
        </is>
      </c>
      <c r="G80" t="inlineStr">
        <is>
          <t>KUNGSBACKA</t>
        </is>
      </c>
      <c r="I80" t="n">
        <v>0.7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12218-2025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45729</v>
      </c>
      <c r="E81" s="1" t="n">
        <v>46312</v>
      </c>
      <c r="F81" t="inlineStr">
        <is>
          <t>HALLANDS LÄN</t>
        </is>
      </c>
      <c r="G81" t="inlineStr">
        <is>
          <t>KUNGSBACKA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36284-2025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45867</v>
      </c>
      <c r="E82" s="1" t="n">
        <v>46312</v>
      </c>
      <c r="F82" t="inlineStr">
        <is>
          <t>HALLANDS LÄN</t>
        </is>
      </c>
      <c r="G82" t="inlineStr">
        <is>
          <t>KUNGSBACKA</t>
        </is>
      </c>
      <c r="I82" t="n">
        <v>3.9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26866-2025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45810</v>
      </c>
      <c r="E83" s="1" t="n">
        <v>46312</v>
      </c>
      <c r="F83" t="inlineStr">
        <is>
          <t>HALLANDS LÄN</t>
        </is>
      </c>
      <c r="G83" t="inlineStr">
        <is>
          <t>KUNGSBACKA</t>
        </is>
      </c>
      <c r="I83" t="n">
        <v>3.4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39154-2025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45888</v>
      </c>
      <c r="E84" s="1" t="n">
        <v>46312</v>
      </c>
      <c r="F84" t="inlineStr">
        <is>
          <t>HALLANDS LÄN</t>
        </is>
      </c>
      <c r="G84" t="inlineStr">
        <is>
          <t>KUNGSBACKA</t>
        </is>
      </c>
      <c r="I84" t="n">
        <v>1.1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6507-2025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45699</v>
      </c>
      <c r="E85" s="1" t="n">
        <v>46312</v>
      </c>
      <c r="F85" t="inlineStr">
        <is>
          <t>HALLANDS LÄN</t>
        </is>
      </c>
      <c r="G85" t="inlineStr">
        <is>
          <t>KUNGSBACKA</t>
        </is>
      </c>
      <c r="I85" t="n">
        <v>3.8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11204-2025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45726</v>
      </c>
      <c r="E86" s="1" t="n">
        <v>46312</v>
      </c>
      <c r="F86" t="inlineStr">
        <is>
          <t>HALLANDS LÄN</t>
        </is>
      </c>
      <c r="G86" t="inlineStr">
        <is>
          <t>KUNGSBACKA</t>
        </is>
      </c>
      <c r="I86" t="n">
        <v>1.5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57056-2022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44895</v>
      </c>
      <c r="E87" s="1" t="n">
        <v>46312</v>
      </c>
      <c r="F87" t="inlineStr">
        <is>
          <t>HALLANDS LÄN</t>
        </is>
      </c>
      <c r="G87" t="inlineStr">
        <is>
          <t>KUNGSBACKA</t>
        </is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30901-2022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44767</v>
      </c>
      <c r="E88" s="1" t="n">
        <v>46312</v>
      </c>
      <c r="F88" t="inlineStr">
        <is>
          <t>HALLANDS LÄN</t>
        </is>
      </c>
      <c r="G88" t="inlineStr">
        <is>
          <t>KUNGSBACKA</t>
        </is>
      </c>
      <c r="I88" t="n">
        <v>1.9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61259-2025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46000</v>
      </c>
      <c r="E89" s="1" t="n">
        <v>46312</v>
      </c>
      <c r="F89" t="inlineStr">
        <is>
          <t>HALLANDS LÄN</t>
        </is>
      </c>
      <c r="G89" t="inlineStr">
        <is>
          <t>KUNGSBACKA</t>
        </is>
      </c>
      <c r="I89" t="n">
        <v>2.3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39066-2025</t>
        </is>
      </c>
      <c r="B90" t="inlineStr">
        <is>
          <t>avverkningsanmälan</t>
        </is>
      </c>
      <c r="C90" t="inlineStr">
        <is>
          <t>Avverkning för att bevara och utveckla /försöksver</t>
        </is>
      </c>
      <c r="D90" s="1" t="n">
        <v>45888</v>
      </c>
      <c r="E90" s="1" t="n">
        <v>46312</v>
      </c>
      <c r="F90" t="inlineStr">
        <is>
          <t>HALLANDS LÄN</t>
        </is>
      </c>
      <c r="G90" t="inlineStr">
        <is>
          <t>KUNGSBACKA</t>
        </is>
      </c>
      <c r="I90" t="n">
        <v>2.3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39292-2025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45889</v>
      </c>
      <c r="E91" s="1" t="n">
        <v>46312</v>
      </c>
      <c r="F91" t="inlineStr">
        <is>
          <t>HALLANDS LÄN</t>
        </is>
      </c>
      <c r="G91" t="inlineStr">
        <is>
          <t>KUNGSBACKA</t>
        </is>
      </c>
      <c r="I91" t="n">
        <v>1.5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39295-2025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45889</v>
      </c>
      <c r="E92" s="1" t="n">
        <v>46312</v>
      </c>
      <c r="F92" t="inlineStr">
        <is>
          <t>HALLANDS LÄN</t>
        </is>
      </c>
      <c r="G92" t="inlineStr">
        <is>
          <t>KUNGSBACKA</t>
        </is>
      </c>
      <c r="I92" t="n">
        <v>0.5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4985-2025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45691</v>
      </c>
      <c r="E93" s="1" t="n">
        <v>46312</v>
      </c>
      <c r="F93" t="inlineStr">
        <is>
          <t>HALLANDS LÄN</t>
        </is>
      </c>
      <c r="G93" t="inlineStr">
        <is>
          <t>KUNGSBACKA</t>
        </is>
      </c>
      <c r="I93" t="n">
        <v>1.4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48406-2023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45205</v>
      </c>
      <c r="E94" s="1" t="n">
        <v>46312</v>
      </c>
      <c r="F94" t="inlineStr">
        <is>
          <t>HALLANDS LÄN</t>
        </is>
      </c>
      <c r="G94" t="inlineStr">
        <is>
          <t>KUNGSBACKA</t>
        </is>
      </c>
      <c r="I94" t="n">
        <v>1.4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28879-2025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45820</v>
      </c>
      <c r="E95" s="1" t="n">
        <v>46312</v>
      </c>
      <c r="F95" t="inlineStr">
        <is>
          <t>HALLANDS LÄN</t>
        </is>
      </c>
      <c r="G95" t="inlineStr">
        <is>
          <t>KUNGSBACKA</t>
        </is>
      </c>
      <c r="I95" t="n">
        <v>2.4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11938-2025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45728</v>
      </c>
      <c r="E96" s="1" t="n">
        <v>46312</v>
      </c>
      <c r="F96" t="inlineStr">
        <is>
          <t>HALLANDS LÄN</t>
        </is>
      </c>
      <c r="G96" t="inlineStr">
        <is>
          <t>KUNGSBACKA</t>
        </is>
      </c>
      <c r="I96" t="n">
        <v>2.4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33646-2022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44789</v>
      </c>
      <c r="E97" s="1" t="n">
        <v>46312</v>
      </c>
      <c r="F97" t="inlineStr">
        <is>
          <t>HALLANDS LÄN</t>
        </is>
      </c>
      <c r="G97" t="inlineStr">
        <is>
          <t>KUNGSBACKA</t>
        </is>
      </c>
      <c r="I97" t="n">
        <v>0.7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46779-2022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44851</v>
      </c>
      <c r="E98" s="1" t="n">
        <v>46312</v>
      </c>
      <c r="F98" t="inlineStr">
        <is>
          <t>HALLANDS LÄN</t>
        </is>
      </c>
      <c r="G98" t="inlineStr">
        <is>
          <t>KUNGSBACKA</t>
        </is>
      </c>
      <c r="I98" t="n">
        <v>6.7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9409-2024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45359</v>
      </c>
      <c r="E99" s="1" t="n">
        <v>46312</v>
      </c>
      <c r="F99" t="inlineStr">
        <is>
          <t>HALLANDS LÄN</t>
        </is>
      </c>
      <c r="G99" t="inlineStr">
        <is>
          <t>KUNGSBACKA</t>
        </is>
      </c>
      <c r="H99" t="inlineStr">
        <is>
          <t>Kyrkan</t>
        </is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9412-2024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45359</v>
      </c>
      <c r="E100" s="1" t="n">
        <v>46312</v>
      </c>
      <c r="F100" t="inlineStr">
        <is>
          <t>HALLANDS LÄN</t>
        </is>
      </c>
      <c r="G100" t="inlineStr">
        <is>
          <t>KUNGSBACKA</t>
        </is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11490-2025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45726</v>
      </c>
      <c r="E101" s="1" t="n">
        <v>46312</v>
      </c>
      <c r="F101" t="inlineStr">
        <is>
          <t>HALLANDS LÄN</t>
        </is>
      </c>
      <c r="G101" t="inlineStr">
        <is>
          <t>KUNGSBACKA</t>
        </is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61424-2025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46001</v>
      </c>
      <c r="E102" s="1" t="n">
        <v>46312</v>
      </c>
      <c r="F102" t="inlineStr">
        <is>
          <t>HALLANDS LÄN</t>
        </is>
      </c>
      <c r="G102" t="inlineStr">
        <is>
          <t>KUNGSBACKA</t>
        </is>
      </c>
      <c r="I102" t="n">
        <v>1.9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15122-2025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45744</v>
      </c>
      <c r="E103" s="1" t="n">
        <v>46312</v>
      </c>
      <c r="F103" t="inlineStr">
        <is>
          <t>HALLANDS LÄN</t>
        </is>
      </c>
      <c r="G103" t="inlineStr">
        <is>
          <t>KUNGSBACKA</t>
        </is>
      </c>
      <c r="I103" t="n">
        <v>1.2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35804-2024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45532</v>
      </c>
      <c r="E104" s="1" t="n">
        <v>46312</v>
      </c>
      <c r="F104" t="inlineStr">
        <is>
          <t>HALLANDS LÄN</t>
        </is>
      </c>
      <c r="G104" t="inlineStr">
        <is>
          <t>KUNGSBACKA</t>
        </is>
      </c>
      <c r="I104" t="n">
        <v>7.4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35808-2024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45532</v>
      </c>
      <c r="E105" s="1" t="n">
        <v>46312</v>
      </c>
      <c r="F105" t="inlineStr">
        <is>
          <t>HALLANDS LÄN</t>
        </is>
      </c>
      <c r="G105" t="inlineStr">
        <is>
          <t>KUNGSBACKA</t>
        </is>
      </c>
      <c r="I105" t="n">
        <v>1.8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43655-2025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45912</v>
      </c>
      <c r="E106" s="1" t="n">
        <v>46312</v>
      </c>
      <c r="F106" t="inlineStr">
        <is>
          <t>HALLANDS LÄN</t>
        </is>
      </c>
      <c r="G106" t="inlineStr">
        <is>
          <t>KUNGSBACKA</t>
        </is>
      </c>
      <c r="I106" t="n">
        <v>3.9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45631-2025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45922</v>
      </c>
      <c r="E107" s="1" t="n">
        <v>46312</v>
      </c>
      <c r="F107" t="inlineStr">
        <is>
          <t>HALLANDS LÄN</t>
        </is>
      </c>
      <c r="G107" t="inlineStr">
        <is>
          <t>KUNGSBACKA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4144-2024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45323</v>
      </c>
      <c r="E108" s="1" t="n">
        <v>46312</v>
      </c>
      <c r="F108" t="inlineStr">
        <is>
          <t>HALLANDS LÄN</t>
        </is>
      </c>
      <c r="G108" t="inlineStr">
        <is>
          <t>KUNGSBACKA</t>
        </is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21756-2026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46149</v>
      </c>
      <c r="E109" s="1" t="n">
        <v>46312</v>
      </c>
      <c r="F109" t="inlineStr">
        <is>
          <t>HALLANDS LÄN</t>
        </is>
      </c>
      <c r="G109" t="inlineStr">
        <is>
          <t>KUNGSBACKA</t>
        </is>
      </c>
      <c r="I109" t="n">
        <v>1.6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47452-2025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45930</v>
      </c>
      <c r="E110" s="1" t="n">
        <v>46312</v>
      </c>
      <c r="F110" t="inlineStr">
        <is>
          <t>HALLANDS LÄN</t>
        </is>
      </c>
      <c r="G110" t="inlineStr">
        <is>
          <t>KUNGSBACKA</t>
        </is>
      </c>
      <c r="I110" t="n">
        <v>0.9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28529-2022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44748</v>
      </c>
      <c r="E111" s="1" t="n">
        <v>46312</v>
      </c>
      <c r="F111" t="inlineStr">
        <is>
          <t>HALLANDS LÄN</t>
        </is>
      </c>
      <c r="G111" t="inlineStr">
        <is>
          <t>KUNGSBACKA</t>
        </is>
      </c>
      <c r="I111" t="n">
        <v>7.2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59348-2023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45253</v>
      </c>
      <c r="E112" s="1" t="n">
        <v>46312</v>
      </c>
      <c r="F112" t="inlineStr">
        <is>
          <t>HALLANDS LÄN</t>
        </is>
      </c>
      <c r="G112" t="inlineStr">
        <is>
          <t>KUNGSBACKA</t>
        </is>
      </c>
      <c r="I112" t="n">
        <v>0.5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11293-2024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45371</v>
      </c>
      <c r="E113" s="1" t="n">
        <v>46312</v>
      </c>
      <c r="F113" t="inlineStr">
        <is>
          <t>HALLANDS LÄN</t>
        </is>
      </c>
      <c r="G113" t="inlineStr">
        <is>
          <t>KUNGSBACKA</t>
        </is>
      </c>
      <c r="I113" t="n">
        <v>0.6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11296-2024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45371</v>
      </c>
      <c r="E114" s="1" t="n">
        <v>46312</v>
      </c>
      <c r="F114" t="inlineStr">
        <is>
          <t>HALLANDS LÄN</t>
        </is>
      </c>
      <c r="G114" t="inlineStr">
        <is>
          <t>KUNGSBACKA</t>
        </is>
      </c>
      <c r="I114" t="n">
        <v>2.9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16075-2025</t>
        </is>
      </c>
      <c r="B115" t="inlineStr">
        <is>
          <t>avverkningsanmälan</t>
        </is>
      </c>
      <c r="C115" t="inlineStr">
        <is>
          <t>Avverkning för att bevara och utveckla /försöksver</t>
        </is>
      </c>
      <c r="D115" s="1" t="n">
        <v>45749</v>
      </c>
      <c r="E115" s="1" t="n">
        <v>46312</v>
      </c>
      <c r="F115" t="inlineStr">
        <is>
          <t>HALLANDS LÄN</t>
        </is>
      </c>
      <c r="G115" t="inlineStr">
        <is>
          <t>KUNGSBACKA</t>
        </is>
      </c>
      <c r="I115" t="n">
        <v>1.7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45892-2025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45923</v>
      </c>
      <c r="E116" s="1" t="n">
        <v>46312</v>
      </c>
      <c r="F116" t="inlineStr">
        <is>
          <t>HALLANDS LÄN</t>
        </is>
      </c>
      <c r="G116" t="inlineStr">
        <is>
          <t>KUNGSBACKA</t>
        </is>
      </c>
      <c r="I116" t="n">
        <v>0.5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31617-2022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44775</v>
      </c>
      <c r="E117" s="1" t="n">
        <v>46312</v>
      </c>
      <c r="F117" t="inlineStr">
        <is>
          <t>HALLANDS LÄN</t>
        </is>
      </c>
      <c r="G117" t="inlineStr">
        <is>
          <t>KUNGSBACKA</t>
        </is>
      </c>
      <c r="I117" t="n">
        <v>1.3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51523-2025</t>
        </is>
      </c>
      <c r="B118" t="inlineStr">
        <is>
          <t>avverkningsanmälan</t>
        </is>
      </c>
      <c r="C118" t="inlineStr">
        <is>
          <t>Avverkning för annat ändamål</t>
        </is>
      </c>
      <c r="D118" s="1" t="n">
        <v>45950</v>
      </c>
      <c r="E118" s="1" t="n">
        <v>46312</v>
      </c>
      <c r="F118" t="inlineStr">
        <is>
          <t>HALLANDS LÄN</t>
        </is>
      </c>
      <c r="G118" t="inlineStr">
        <is>
          <t>KUNGSBACKA</t>
        </is>
      </c>
      <c r="I118" t="n">
        <v>3.4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52132-2025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45952</v>
      </c>
      <c r="E119" s="1" t="n">
        <v>46312</v>
      </c>
      <c r="F119" t="inlineStr">
        <is>
          <t>HALLANDS LÄN</t>
        </is>
      </c>
      <c r="G119" t="inlineStr">
        <is>
          <t>KUNGSBACKA</t>
        </is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7069-2025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45701</v>
      </c>
      <c r="E120" s="1" t="n">
        <v>46312</v>
      </c>
      <c r="F120" t="inlineStr">
        <is>
          <t>HALLANDS LÄN</t>
        </is>
      </c>
      <c r="G120" t="inlineStr">
        <is>
          <t>KUNGSBACKA</t>
        </is>
      </c>
      <c r="I120" t="n">
        <v>1.3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53487-2025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45960</v>
      </c>
      <c r="E121" s="1" t="n">
        <v>46312</v>
      </c>
      <c r="F121" t="inlineStr">
        <is>
          <t>HALLANDS LÄN</t>
        </is>
      </c>
      <c r="G121" t="inlineStr">
        <is>
          <t>KUNGSBACKA</t>
        </is>
      </c>
      <c r="I121" t="n">
        <v>2.1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8789-2024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45356</v>
      </c>
      <c r="E122" s="1" t="n">
        <v>46312</v>
      </c>
      <c r="F122" t="inlineStr">
        <is>
          <t>HALLANDS LÄN</t>
        </is>
      </c>
      <c r="G122" t="inlineStr">
        <is>
          <t>KUNGSBACKA</t>
        </is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14487-2025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45741</v>
      </c>
      <c r="E123" s="1" t="n">
        <v>46312</v>
      </c>
      <c r="F123" t="inlineStr">
        <is>
          <t>HALLANDS LÄN</t>
        </is>
      </c>
      <c r="G123" t="inlineStr">
        <is>
          <t>KUNGSBACKA</t>
        </is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44674-2025</t>
        </is>
      </c>
      <c r="B124" t="inlineStr">
        <is>
          <t>avverkningsanmälan</t>
        </is>
      </c>
      <c r="C124" t="inlineStr">
        <is>
          <t>Avverkning för att bevara och utveckla /försöksver</t>
        </is>
      </c>
      <c r="D124" s="1" t="n">
        <v>45917</v>
      </c>
      <c r="E124" s="1" t="n">
        <v>46312</v>
      </c>
      <c r="F124" t="inlineStr">
        <is>
          <t>HALLANDS LÄN</t>
        </is>
      </c>
      <c r="G124" t="inlineStr">
        <is>
          <t>KUNGSBACKA</t>
        </is>
      </c>
      <c r="I124" t="n">
        <v>1.3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55272-2025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45968</v>
      </c>
      <c r="E125" s="1" t="n">
        <v>46312</v>
      </c>
      <c r="F125" t="inlineStr">
        <is>
          <t>HALLANDS LÄN</t>
        </is>
      </c>
      <c r="G125" t="inlineStr">
        <is>
          <t>KUNGSBACKA</t>
        </is>
      </c>
      <c r="I125" t="n">
        <v>2.3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4919-2024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45329</v>
      </c>
      <c r="E126" s="1" t="n">
        <v>46312</v>
      </c>
      <c r="F126" t="inlineStr">
        <is>
          <t>HALLANDS LÄN</t>
        </is>
      </c>
      <c r="G126" t="inlineStr">
        <is>
          <t>KUNGSBACKA</t>
        </is>
      </c>
      <c r="I126" t="n">
        <v>1.6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15020-2025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45743</v>
      </c>
      <c r="E127" s="1" t="n">
        <v>46312</v>
      </c>
      <c r="F127" t="inlineStr">
        <is>
          <t>HALLANDS LÄN</t>
        </is>
      </c>
      <c r="G127" t="inlineStr">
        <is>
          <t>KUNGSBACKA</t>
        </is>
      </c>
      <c r="I127" t="n">
        <v>0.6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71676-2021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44539</v>
      </c>
      <c r="E128" s="1" t="n">
        <v>46312</v>
      </c>
      <c r="F128" t="inlineStr">
        <is>
          <t>HALLANDS LÄN</t>
        </is>
      </c>
      <c r="G128" t="inlineStr">
        <is>
          <t>KUNGSBACKA</t>
        </is>
      </c>
      <c r="I128" t="n">
        <v>8.1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62142-2024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45656</v>
      </c>
      <c r="E129" s="1" t="n">
        <v>46312</v>
      </c>
      <c r="F129" t="inlineStr">
        <is>
          <t>HALLANDS LÄN</t>
        </is>
      </c>
      <c r="G129" t="inlineStr">
        <is>
          <t>KUNGSBACKA</t>
        </is>
      </c>
      <c r="I129" t="n">
        <v>0.5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62143-2024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45656</v>
      </c>
      <c r="E130" s="1" t="n">
        <v>46312</v>
      </c>
      <c r="F130" t="inlineStr">
        <is>
          <t>HALLANDS LÄN</t>
        </is>
      </c>
      <c r="G130" t="inlineStr">
        <is>
          <t>KUNGSBACKA</t>
        </is>
      </c>
      <c r="I130" t="n">
        <v>0.6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14721-2025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45742</v>
      </c>
      <c r="E131" s="1" t="n">
        <v>46312</v>
      </c>
      <c r="F131" t="inlineStr">
        <is>
          <t>HALLANDS LÄN</t>
        </is>
      </c>
      <c r="G131" t="inlineStr">
        <is>
          <t>KUNGSBACKA</t>
        </is>
      </c>
      <c r="I131" t="n">
        <v>6.1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51331-2022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44869</v>
      </c>
      <c r="E132" s="1" t="n">
        <v>46312</v>
      </c>
      <c r="F132" t="inlineStr">
        <is>
          <t>HALLANDS LÄN</t>
        </is>
      </c>
      <c r="G132" t="inlineStr">
        <is>
          <t>KUNGSBACKA</t>
        </is>
      </c>
      <c r="I132" t="n">
        <v>1.7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28608-2023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45103</v>
      </c>
      <c r="E133" s="1" t="n">
        <v>46312</v>
      </c>
      <c r="F133" t="inlineStr">
        <is>
          <t>HALLANDS LÄN</t>
        </is>
      </c>
      <c r="G133" t="inlineStr">
        <is>
          <t>KUNGSBACKA</t>
        </is>
      </c>
      <c r="I133" t="n">
        <v>0.6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17212-2025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45756</v>
      </c>
      <c r="E134" s="1" t="n">
        <v>46312</v>
      </c>
      <c r="F134" t="inlineStr">
        <is>
          <t>HALLANDS LÄN</t>
        </is>
      </c>
      <c r="G134" t="inlineStr">
        <is>
          <t>KUNGSBACKA</t>
        </is>
      </c>
      <c r="I134" t="n">
        <v>1.8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51978-2024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45607</v>
      </c>
      <c r="E135" s="1" t="n">
        <v>46312</v>
      </c>
      <c r="F135" t="inlineStr">
        <is>
          <t>HALLANDS LÄN</t>
        </is>
      </c>
      <c r="G135" t="inlineStr">
        <is>
          <t>KUNGSBACKA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57790-2022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44897</v>
      </c>
      <c r="E136" s="1" t="n">
        <v>46312</v>
      </c>
      <c r="F136" t="inlineStr">
        <is>
          <t>HALLANDS LÄN</t>
        </is>
      </c>
      <c r="G136" t="inlineStr">
        <is>
          <t>KUNGSBACKA</t>
        </is>
      </c>
      <c r="I136" t="n">
        <v>18.8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11961-2023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44994</v>
      </c>
      <c r="E137" s="1" t="n">
        <v>46312</v>
      </c>
      <c r="F137" t="inlineStr">
        <is>
          <t>HALLANDS LÄN</t>
        </is>
      </c>
      <c r="G137" t="inlineStr">
        <is>
          <t>KUNGSBACKA</t>
        </is>
      </c>
      <c r="I137" t="n">
        <v>1.7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37995-2025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45881</v>
      </c>
      <c r="E138" s="1" t="n">
        <v>46312</v>
      </c>
      <c r="F138" t="inlineStr">
        <is>
          <t>HALLANDS LÄN</t>
        </is>
      </c>
      <c r="G138" t="inlineStr">
        <is>
          <t>KUNGSBACKA</t>
        </is>
      </c>
      <c r="I138" t="n">
        <v>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6774-2025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45700</v>
      </c>
      <c r="E139" s="1" t="n">
        <v>46312</v>
      </c>
      <c r="F139" t="inlineStr">
        <is>
          <t>HALLANDS LÄN</t>
        </is>
      </c>
      <c r="G139" t="inlineStr">
        <is>
          <t>KUNGSBACKA</t>
        </is>
      </c>
      <c r="I139" t="n">
        <v>3.5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27295-2023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45096</v>
      </c>
      <c r="E140" s="1" t="n">
        <v>46312</v>
      </c>
      <c r="F140" t="inlineStr">
        <is>
          <t>HALLANDS LÄN</t>
        </is>
      </c>
      <c r="G140" t="inlineStr">
        <is>
          <t>KUNGSBACKA</t>
        </is>
      </c>
      <c r="I140" t="n">
        <v>1.4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61621-2025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46002</v>
      </c>
      <c r="E141" s="1" t="n">
        <v>46312</v>
      </c>
      <c r="F141" t="inlineStr">
        <is>
          <t>HALLANDS LÄN</t>
        </is>
      </c>
      <c r="G141" t="inlineStr">
        <is>
          <t>KUNGSBACKA</t>
        </is>
      </c>
      <c r="I141" t="n">
        <v>1.6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11958-2023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44994</v>
      </c>
      <c r="E142" s="1" t="n">
        <v>46312</v>
      </c>
      <c r="F142" t="inlineStr">
        <is>
          <t>HALLANDS LÄN</t>
        </is>
      </c>
      <c r="G142" t="inlineStr">
        <is>
          <t>KUNGSBACKA</t>
        </is>
      </c>
      <c r="I142" t="n">
        <v>3.2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37823-2023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45160</v>
      </c>
      <c r="E143" s="1" t="n">
        <v>46312</v>
      </c>
      <c r="F143" t="inlineStr">
        <is>
          <t>HALLANDS LÄN</t>
        </is>
      </c>
      <c r="G143" t="inlineStr">
        <is>
          <t>KUNGSBACKA</t>
        </is>
      </c>
      <c r="I143" t="n">
        <v>2.4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14843-2024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45398</v>
      </c>
      <c r="E144" s="1" t="n">
        <v>46312</v>
      </c>
      <c r="F144" t="inlineStr">
        <is>
          <t>HALLANDS LÄN</t>
        </is>
      </c>
      <c r="G144" t="inlineStr">
        <is>
          <t>KUNGSBACKA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54319-2024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45617</v>
      </c>
      <c r="E145" s="1" t="n">
        <v>46312</v>
      </c>
      <c r="F145" t="inlineStr">
        <is>
          <t>HALLANDS LÄN</t>
        </is>
      </c>
      <c r="G145" t="inlineStr">
        <is>
          <t>KUNGSBACKA</t>
        </is>
      </c>
      <c r="I145" t="n">
        <v>2.6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7335-2023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44971</v>
      </c>
      <c r="E146" s="1" t="n">
        <v>46312</v>
      </c>
      <c r="F146" t="inlineStr">
        <is>
          <t>HALLANDS LÄN</t>
        </is>
      </c>
      <c r="G146" t="inlineStr">
        <is>
          <t>KUNGSBACKA</t>
        </is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274-2026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46027</v>
      </c>
      <c r="E147" s="1" t="n">
        <v>46312</v>
      </c>
      <c r="F147" t="inlineStr">
        <is>
          <t>HALLANDS LÄN</t>
        </is>
      </c>
      <c r="G147" t="inlineStr">
        <is>
          <t>KUNGSBACKA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24459-2022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44726</v>
      </c>
      <c r="E148" s="1" t="n">
        <v>46312</v>
      </c>
      <c r="F148" t="inlineStr">
        <is>
          <t>HALLANDS LÄN</t>
        </is>
      </c>
      <c r="G148" t="inlineStr">
        <is>
          <t>KUNGSBACKA</t>
        </is>
      </c>
      <c r="I148" t="n">
        <v>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1379-2026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46031</v>
      </c>
      <c r="E149" s="1" t="n">
        <v>46312</v>
      </c>
      <c r="F149" t="inlineStr">
        <is>
          <t>HALLANDS LÄN</t>
        </is>
      </c>
      <c r="G149" t="inlineStr">
        <is>
          <t>KUNGSBACKA</t>
        </is>
      </c>
      <c r="I149" t="n">
        <v>0.9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1383-2026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46031</v>
      </c>
      <c r="E150" s="1" t="n">
        <v>46312</v>
      </c>
      <c r="F150" t="inlineStr">
        <is>
          <t>HALLANDS LÄN</t>
        </is>
      </c>
      <c r="G150" t="inlineStr">
        <is>
          <t>KUNGSBACKA</t>
        </is>
      </c>
      <c r="I150" t="n">
        <v>0.6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1385-2026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46031</v>
      </c>
      <c r="E151" s="1" t="n">
        <v>46312</v>
      </c>
      <c r="F151" t="inlineStr">
        <is>
          <t>HALLANDS LÄN</t>
        </is>
      </c>
      <c r="G151" t="inlineStr">
        <is>
          <t>KUNGSBACKA</t>
        </is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51316-2023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45219</v>
      </c>
      <c r="E152" s="1" t="n">
        <v>46312</v>
      </c>
      <c r="F152" t="inlineStr">
        <is>
          <t>HALLANDS LÄN</t>
        </is>
      </c>
      <c r="G152" t="inlineStr">
        <is>
          <t>KUNGSBACKA</t>
        </is>
      </c>
      <c r="I152" t="n">
        <v>1.2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25337-2026</t>
        </is>
      </c>
      <c r="B153" t="inlineStr">
        <is>
          <t>avverkningsanmälan</t>
        </is>
      </c>
      <c r="C153" t="inlineStr">
        <is>
          <t>Avverkning för att bevara och utveckla /försöksver</t>
        </is>
      </c>
      <c r="D153" s="1" t="n">
        <v>46176</v>
      </c>
      <c r="E153" s="1" t="n">
        <v>46312</v>
      </c>
      <c r="F153" t="inlineStr">
        <is>
          <t>HALLANDS LÄN</t>
        </is>
      </c>
      <c r="G153" t="inlineStr">
        <is>
          <t>KUNGSBACKA</t>
        </is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25347-2026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46176</v>
      </c>
      <c r="E154" s="1" t="n">
        <v>46312</v>
      </c>
      <c r="F154" t="inlineStr">
        <is>
          <t>HALLANDS LÄN</t>
        </is>
      </c>
      <c r="G154" t="inlineStr">
        <is>
          <t>KUNGSBACKA</t>
        </is>
      </c>
      <c r="I154" t="n">
        <v>0.7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25349-2026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46176</v>
      </c>
      <c r="E155" s="1" t="n">
        <v>46312</v>
      </c>
      <c r="F155" t="inlineStr">
        <is>
          <t>HALLANDS LÄN</t>
        </is>
      </c>
      <c r="G155" t="inlineStr">
        <is>
          <t>KUNGSBACKA</t>
        </is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25346-2026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46176</v>
      </c>
      <c r="E156" s="1" t="n">
        <v>46312</v>
      </c>
      <c r="F156" t="inlineStr">
        <is>
          <t>HALLANDS LÄN</t>
        </is>
      </c>
      <c r="G156" t="inlineStr">
        <is>
          <t>KUNGSBACKA</t>
        </is>
      </c>
      <c r="I156" t="n">
        <v>0.7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25351-2026</t>
        </is>
      </c>
      <c r="B157" t="inlineStr">
        <is>
          <t>avverkningsanmälan</t>
        </is>
      </c>
      <c r="C157" t="inlineStr">
        <is>
          <t>Avverkning för att bevara och utveckla /försöksver</t>
        </is>
      </c>
      <c r="D157" s="1" t="n">
        <v>46176</v>
      </c>
      <c r="E157" s="1" t="n">
        <v>46312</v>
      </c>
      <c r="F157" t="inlineStr">
        <is>
          <t>HALLANDS LÄN</t>
        </is>
      </c>
      <c r="G157" t="inlineStr">
        <is>
          <t>KUNGSBACKA</t>
        </is>
      </c>
      <c r="I157" t="n">
        <v>1.1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59623-2024</t>
        </is>
      </c>
      <c r="B158" t="inlineStr">
        <is>
          <t>avverkningsanmälan</t>
        </is>
      </c>
      <c r="C158" t="inlineStr">
        <is>
          <t>Avverkning för annat ändamål</t>
        </is>
      </c>
      <c r="D158" s="1" t="n">
        <v>45638</v>
      </c>
      <c r="E158" s="1" t="n">
        <v>46312</v>
      </c>
      <c r="F158" t="inlineStr">
        <is>
          <t>HALLANDS LÄN</t>
        </is>
      </c>
      <c r="G158" t="inlineStr">
        <is>
          <t>KUNGSBACKA</t>
        </is>
      </c>
      <c r="I158" t="n">
        <v>19.2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10572-2024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45366</v>
      </c>
      <c r="E159" s="1" t="n">
        <v>46312</v>
      </c>
      <c r="F159" t="inlineStr">
        <is>
          <t>HALLANDS LÄN</t>
        </is>
      </c>
      <c r="G159" t="inlineStr">
        <is>
          <t>KUNGSBACKA</t>
        </is>
      </c>
      <c r="I159" t="n">
        <v>0.5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45639-2025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45922</v>
      </c>
      <c r="E160" s="1" t="n">
        <v>46312</v>
      </c>
      <c r="F160" t="inlineStr">
        <is>
          <t>HALLANDS LÄN</t>
        </is>
      </c>
      <c r="G160" t="inlineStr">
        <is>
          <t>KUNGSBACKA</t>
        </is>
      </c>
      <c r="I160" t="n">
        <v>2.3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4979-2022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44593</v>
      </c>
      <c r="E161" s="1" t="n">
        <v>46312</v>
      </c>
      <c r="F161" t="inlineStr">
        <is>
          <t>HALLANDS LÄN</t>
        </is>
      </c>
      <c r="G161" t="inlineStr">
        <is>
          <t>KUNGSBACKA</t>
        </is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2415-2023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44942</v>
      </c>
      <c r="E162" s="1" t="n">
        <v>46312</v>
      </c>
      <c r="F162" t="inlineStr">
        <is>
          <t>HALLANDS LÄN</t>
        </is>
      </c>
      <c r="G162" t="inlineStr">
        <is>
          <t>KUNGSBACKA</t>
        </is>
      </c>
      <c r="I162" t="n">
        <v>19.2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5829-2026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46052</v>
      </c>
      <c r="E163" s="1" t="n">
        <v>46312</v>
      </c>
      <c r="F163" t="inlineStr">
        <is>
          <t>HALLANDS LÄN</t>
        </is>
      </c>
      <c r="G163" t="inlineStr">
        <is>
          <t>KUNGSBACKA</t>
        </is>
      </c>
      <c r="I163" t="n">
        <v>4.7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47832-2023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45204</v>
      </c>
      <c r="E164" s="1" t="n">
        <v>46312</v>
      </c>
      <c r="F164" t="inlineStr">
        <is>
          <t>HALLANDS LÄN</t>
        </is>
      </c>
      <c r="G164" t="inlineStr">
        <is>
          <t>KUNGSBACKA</t>
        </is>
      </c>
      <c r="I164" t="n">
        <v>2.9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6135-2026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46054</v>
      </c>
      <c r="E165" s="1" t="n">
        <v>46312</v>
      </c>
      <c r="F165" t="inlineStr">
        <is>
          <t>HALLANDS LÄN</t>
        </is>
      </c>
      <c r="G165" t="inlineStr">
        <is>
          <t>KUNGSBACKA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6137-2026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46054</v>
      </c>
      <c r="E166" s="1" t="n">
        <v>46312</v>
      </c>
      <c r="F166" t="inlineStr">
        <is>
          <t>HALLANDS LÄN</t>
        </is>
      </c>
      <c r="G166" t="inlineStr">
        <is>
          <t>KUNGSBACKA</t>
        </is>
      </c>
      <c r="I166" t="n">
        <v>2.1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6136-2026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46054</v>
      </c>
      <c r="E167" s="1" t="n">
        <v>46312</v>
      </c>
      <c r="F167" t="inlineStr">
        <is>
          <t>HALLANDS LÄN</t>
        </is>
      </c>
      <c r="G167" t="inlineStr">
        <is>
          <t>KUNGSBACKA</t>
        </is>
      </c>
      <c r="I167" t="n">
        <v>0.9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16887-2025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45755</v>
      </c>
      <c r="E168" s="1" t="n">
        <v>46312</v>
      </c>
      <c r="F168" t="inlineStr">
        <is>
          <t>HALLANDS LÄN</t>
        </is>
      </c>
      <c r="G168" t="inlineStr">
        <is>
          <t>KUNGSBACKA</t>
        </is>
      </c>
      <c r="H168" t="inlineStr">
        <is>
          <t>Övriga Aktiebolag</t>
        </is>
      </c>
      <c r="I168" t="n">
        <v>3.5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26703-2026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46184</v>
      </c>
      <c r="E169" s="1" t="n">
        <v>46312</v>
      </c>
      <c r="F169" t="inlineStr">
        <is>
          <t>HALLANDS LÄN</t>
        </is>
      </c>
      <c r="G169" t="inlineStr">
        <is>
          <t>KUNGSBACKA</t>
        </is>
      </c>
      <c r="I169" t="n">
        <v>2.6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26726-2026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46184</v>
      </c>
      <c r="E170" s="1" t="n">
        <v>46312</v>
      </c>
      <c r="F170" t="inlineStr">
        <is>
          <t>HALLANDS LÄN</t>
        </is>
      </c>
      <c r="G170" t="inlineStr">
        <is>
          <t>KUNGSBACKA</t>
        </is>
      </c>
      <c r="I170" t="n">
        <v>1.2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26735-2026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46184</v>
      </c>
      <c r="E171" s="1" t="n">
        <v>46312</v>
      </c>
      <c r="F171" t="inlineStr">
        <is>
          <t>HALLANDS LÄN</t>
        </is>
      </c>
      <c r="G171" t="inlineStr">
        <is>
          <t>KUNGSBACKA</t>
        </is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26675-2026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46184</v>
      </c>
      <c r="E172" s="1" t="n">
        <v>46312</v>
      </c>
      <c r="F172" t="inlineStr">
        <is>
          <t>HALLANDS LÄN</t>
        </is>
      </c>
      <c r="G172" t="inlineStr">
        <is>
          <t>KUNGSBACKA</t>
        </is>
      </c>
      <c r="I172" t="n">
        <v>1.1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26733-2026</t>
        </is>
      </c>
      <c r="B173" t="inlineStr">
        <is>
          <t>avverkningsanmälan</t>
        </is>
      </c>
      <c r="C173" t="inlineStr">
        <is>
          <t>Avverkning för att bevara och utveckla /försöksver</t>
        </is>
      </c>
      <c r="D173" s="1" t="n">
        <v>46184</v>
      </c>
      <c r="E173" s="1" t="n">
        <v>46312</v>
      </c>
      <c r="F173" t="inlineStr">
        <is>
          <t>HALLANDS LÄN</t>
        </is>
      </c>
      <c r="G173" t="inlineStr">
        <is>
          <t>KUNGSBACKA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26677-2026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46184</v>
      </c>
      <c r="E174" s="1" t="n">
        <v>46312</v>
      </c>
      <c r="F174" t="inlineStr">
        <is>
          <t>HALLANDS LÄN</t>
        </is>
      </c>
      <c r="G174" t="inlineStr">
        <is>
          <t>KUNGSBACKA</t>
        </is>
      </c>
      <c r="I174" t="n">
        <v>0.7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26699-2026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46184</v>
      </c>
      <c r="E175" s="1" t="n">
        <v>46312</v>
      </c>
      <c r="F175" t="inlineStr">
        <is>
          <t>HALLANDS LÄN</t>
        </is>
      </c>
      <c r="G175" t="inlineStr">
        <is>
          <t>KUNGSBACKA</t>
        </is>
      </c>
      <c r="I175" t="n">
        <v>5.3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26701-2026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46184</v>
      </c>
      <c r="E176" s="1" t="n">
        <v>46312</v>
      </c>
      <c r="F176" t="inlineStr">
        <is>
          <t>HALLANDS LÄN</t>
        </is>
      </c>
      <c r="G176" t="inlineStr">
        <is>
          <t>KUNGSBACKA</t>
        </is>
      </c>
      <c r="I176" t="n">
        <v>0.4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8743-2026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46066</v>
      </c>
      <c r="E177" s="1" t="n">
        <v>46312</v>
      </c>
      <c r="F177" t="inlineStr">
        <is>
          <t>HALLANDS LÄN</t>
        </is>
      </c>
      <c r="G177" t="inlineStr">
        <is>
          <t>KUNGSBACKA</t>
        </is>
      </c>
      <c r="H177" t="inlineStr">
        <is>
          <t>Kommuner</t>
        </is>
      </c>
      <c r="I177" t="n">
        <v>5.3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30996-2023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45113</v>
      </c>
      <c r="E178" s="1" t="n">
        <v>46312</v>
      </c>
      <c r="F178" t="inlineStr">
        <is>
          <t>HALLANDS LÄN</t>
        </is>
      </c>
      <c r="G178" t="inlineStr">
        <is>
          <t>KUNGSBACKA</t>
        </is>
      </c>
      <c r="I178" t="n">
        <v>1.2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10572-2026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46077</v>
      </c>
      <c r="E179" s="1" t="n">
        <v>46312</v>
      </c>
      <c r="F179" t="inlineStr">
        <is>
          <t>HALLANDS LÄN</t>
        </is>
      </c>
      <c r="G179" t="inlineStr">
        <is>
          <t>KUNGSBACKA</t>
        </is>
      </c>
      <c r="I179" t="n">
        <v>1.6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10799-2026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46078</v>
      </c>
      <c r="E180" s="1" t="n">
        <v>46312</v>
      </c>
      <c r="F180" t="inlineStr">
        <is>
          <t>HALLANDS LÄN</t>
        </is>
      </c>
      <c r="G180" t="inlineStr">
        <is>
          <t>KUNGSBACKA</t>
        </is>
      </c>
      <c r="I180" t="n">
        <v>6.7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62139-2024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45656</v>
      </c>
      <c r="E181" s="1" t="n">
        <v>46312</v>
      </c>
      <c r="F181" t="inlineStr">
        <is>
          <t>HALLANDS LÄN</t>
        </is>
      </c>
      <c r="G181" t="inlineStr">
        <is>
          <t>KUNGSBACKA</t>
        </is>
      </c>
      <c r="I181" t="n">
        <v>0.8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10751-2026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46078</v>
      </c>
      <c r="E182" s="1" t="n">
        <v>46312</v>
      </c>
      <c r="F182" t="inlineStr">
        <is>
          <t>HALLANDS LÄN</t>
        </is>
      </c>
      <c r="G182" t="inlineStr">
        <is>
          <t>KUNGSBACKA</t>
        </is>
      </c>
      <c r="I182" t="n">
        <v>1.8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10753-2026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46078</v>
      </c>
      <c r="E183" s="1" t="n">
        <v>46312</v>
      </c>
      <c r="F183" t="inlineStr">
        <is>
          <t>HALLANDS LÄN</t>
        </is>
      </c>
      <c r="G183" t="inlineStr">
        <is>
          <t>KUNGSBACKA</t>
        </is>
      </c>
      <c r="I183" t="n">
        <v>1.2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23994-2023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45078</v>
      </c>
      <c r="E184" s="1" t="n">
        <v>46312</v>
      </c>
      <c r="F184" t="inlineStr">
        <is>
          <t>HALLANDS LÄN</t>
        </is>
      </c>
      <c r="G184" t="inlineStr">
        <is>
          <t>KUNGSBACKA</t>
        </is>
      </c>
      <c r="H184" t="inlineStr">
        <is>
          <t>Övriga Aktiebolag</t>
        </is>
      </c>
      <c r="I184" t="n">
        <v>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12048-2026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46086</v>
      </c>
      <c r="E185" s="1" t="n">
        <v>46312</v>
      </c>
      <c r="F185" t="inlineStr">
        <is>
          <t>HALLANDS LÄN</t>
        </is>
      </c>
      <c r="G185" t="inlineStr">
        <is>
          <t>KUNGSBACKA</t>
        </is>
      </c>
      <c r="I185" t="n">
        <v>8.1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52317-2022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44873</v>
      </c>
      <c r="E186" s="1" t="n">
        <v>46312</v>
      </c>
      <c r="F186" t="inlineStr">
        <is>
          <t>HALLANDS LÄN</t>
        </is>
      </c>
      <c r="G186" t="inlineStr">
        <is>
          <t>KUNGSBACKA</t>
        </is>
      </c>
      <c r="I186" t="n">
        <v>1.4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20750-2024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45436</v>
      </c>
      <c r="E187" s="1" t="n">
        <v>46312</v>
      </c>
      <c r="F187" t="inlineStr">
        <is>
          <t>HALLANDS LÄN</t>
        </is>
      </c>
      <c r="G187" t="inlineStr">
        <is>
          <t>KUNGSBACKA</t>
        </is>
      </c>
      <c r="I187" t="n">
        <v>0.7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12071-2025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45728</v>
      </c>
      <c r="E188" s="1" t="n">
        <v>46312</v>
      </c>
      <c r="F188" t="inlineStr">
        <is>
          <t>HALLANDS LÄN</t>
        </is>
      </c>
      <c r="G188" t="inlineStr">
        <is>
          <t>KUNGSBACKA</t>
        </is>
      </c>
      <c r="I188" t="n">
        <v>5.7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10124-2025</t>
        </is>
      </c>
      <c r="B189" t="inlineStr">
        <is>
          <t>avverkningsanmälan</t>
        </is>
      </c>
      <c r="C189" t="inlineStr">
        <is>
          <t>Avverkning för annat ändamål</t>
        </is>
      </c>
      <c r="D189" s="1" t="n">
        <v>45719</v>
      </c>
      <c r="E189" s="1" t="n">
        <v>46312</v>
      </c>
      <c r="F189" t="inlineStr">
        <is>
          <t>HALLANDS LÄN</t>
        </is>
      </c>
      <c r="G189" t="inlineStr">
        <is>
          <t>KUNGSBACKA</t>
        </is>
      </c>
      <c r="I189" t="n">
        <v>0.9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10140-2025</t>
        </is>
      </c>
      <c r="B190" t="inlineStr">
        <is>
          <t>avverkningsanmälan</t>
        </is>
      </c>
      <c r="C190" t="inlineStr">
        <is>
          <t>Avverkning för annat ändamål</t>
        </is>
      </c>
      <c r="D190" s="1" t="n">
        <v>45719</v>
      </c>
      <c r="E190" s="1" t="n">
        <v>46312</v>
      </c>
      <c r="F190" t="inlineStr">
        <is>
          <t>HALLANDS LÄN</t>
        </is>
      </c>
      <c r="G190" t="inlineStr">
        <is>
          <t>KUNGSBACKA</t>
        </is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28507-2026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46197</v>
      </c>
      <c r="E191" s="1" t="n">
        <v>46312</v>
      </c>
      <c r="F191" t="inlineStr">
        <is>
          <t>HALLANDS LÄN</t>
        </is>
      </c>
      <c r="G191" t="inlineStr">
        <is>
          <t>KUNGSBACKA</t>
        </is>
      </c>
      <c r="I191" t="n">
        <v>1.2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34445-2024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45525</v>
      </c>
      <c r="E192" s="1" t="n">
        <v>46312</v>
      </c>
      <c r="F192" t="inlineStr">
        <is>
          <t>HALLANDS LÄN</t>
        </is>
      </c>
      <c r="G192" t="inlineStr">
        <is>
          <t>KUNGSBACKA</t>
        </is>
      </c>
      <c r="I192" t="n">
        <v>0.9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34449-2024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45525</v>
      </c>
      <c r="E193" s="1" t="n">
        <v>46312</v>
      </c>
      <c r="F193" t="inlineStr">
        <is>
          <t>HALLANDS LÄN</t>
        </is>
      </c>
      <c r="G193" t="inlineStr">
        <is>
          <t>KUNGSBACKA</t>
        </is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28515-2026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46197</v>
      </c>
      <c r="E194" s="1" t="n">
        <v>46312</v>
      </c>
      <c r="F194" t="inlineStr">
        <is>
          <t>HALLANDS LÄN</t>
        </is>
      </c>
      <c r="G194" t="inlineStr">
        <is>
          <t>KUNGSBACKA</t>
        </is>
      </c>
      <c r="I194" t="n">
        <v>5.3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5812-2024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45335</v>
      </c>
      <c r="E195" s="1" t="n">
        <v>46312</v>
      </c>
      <c r="F195" t="inlineStr">
        <is>
          <t>HALLANDS LÄN</t>
        </is>
      </c>
      <c r="G195" t="inlineStr">
        <is>
          <t>KUNGSBACKA</t>
        </is>
      </c>
      <c r="I195" t="n">
        <v>1.8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12094-2025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45729</v>
      </c>
      <c r="E196" s="1" t="n">
        <v>46312</v>
      </c>
      <c r="F196" t="inlineStr">
        <is>
          <t>HALLANDS LÄN</t>
        </is>
      </c>
      <c r="G196" t="inlineStr">
        <is>
          <t>KUNGSBACKA</t>
        </is>
      </c>
      <c r="H196" t="inlineStr">
        <is>
          <t>Övriga Aktiebolag</t>
        </is>
      </c>
      <c r="I196" t="n">
        <v>6.7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18077-2026</t>
        </is>
      </c>
      <c r="B197" t="inlineStr">
        <is>
          <t>avverkningsanmälan</t>
        </is>
      </c>
      <c r="C197" t="inlineStr">
        <is>
          <t>Avverkning för att bevara och utveckla /försöksver</t>
        </is>
      </c>
      <c r="D197" s="1" t="n">
        <v>46125</v>
      </c>
      <c r="E197" s="1" t="n">
        <v>46312</v>
      </c>
      <c r="F197" t="inlineStr">
        <is>
          <t>HALLANDS LÄN</t>
        </is>
      </c>
      <c r="G197" t="inlineStr">
        <is>
          <t>KUNGSBACKA</t>
        </is>
      </c>
      <c r="I197" t="n">
        <v>0.7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18057-2022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44684</v>
      </c>
      <c r="E198" s="1" t="n">
        <v>46312</v>
      </c>
      <c r="F198" t="inlineStr">
        <is>
          <t>HALLANDS LÄN</t>
        </is>
      </c>
      <c r="G198" t="inlineStr">
        <is>
          <t>KUNGSBACKA</t>
        </is>
      </c>
      <c r="I198" t="n">
        <v>4.2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31293-2024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45504</v>
      </c>
      <c r="E199" s="1" t="n">
        <v>46312</v>
      </c>
      <c r="F199" t="inlineStr">
        <is>
          <t>HALLANDS LÄN</t>
        </is>
      </c>
      <c r="G199" t="inlineStr">
        <is>
          <t>KUNGSBACKA</t>
        </is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6504-2022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44601</v>
      </c>
      <c r="E200" s="1" t="n">
        <v>46312</v>
      </c>
      <c r="F200" t="inlineStr">
        <is>
          <t>HALLANDS LÄN</t>
        </is>
      </c>
      <c r="G200" t="inlineStr">
        <is>
          <t>KUNGSBACKA</t>
        </is>
      </c>
      <c r="I200" t="n">
        <v>1.6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41508-2024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45560</v>
      </c>
      <c r="E201" s="1" t="n">
        <v>46312</v>
      </c>
      <c r="F201" t="inlineStr">
        <is>
          <t>HALLANDS LÄN</t>
        </is>
      </c>
      <c r="G201" t="inlineStr">
        <is>
          <t>KUNGSBACKA</t>
        </is>
      </c>
      <c r="I201" t="n">
        <v>2.6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59696-2024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45639</v>
      </c>
      <c r="E202" s="1" t="n">
        <v>46312</v>
      </c>
      <c r="F202" t="inlineStr">
        <is>
          <t>HALLANDS LÄN</t>
        </is>
      </c>
      <c r="G202" t="inlineStr">
        <is>
          <t>KUNGSBACKA</t>
        </is>
      </c>
      <c r="I202" t="n">
        <v>0.6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33494-2023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45131</v>
      </c>
      <c r="E203" s="1" t="n">
        <v>46312</v>
      </c>
      <c r="F203" t="inlineStr">
        <is>
          <t>HALLANDS LÄN</t>
        </is>
      </c>
      <c r="G203" t="inlineStr">
        <is>
          <t>KUNGSBACKA</t>
        </is>
      </c>
      <c r="I203" t="n">
        <v>0.7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33496-2023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45131</v>
      </c>
      <c r="E204" s="1" t="n">
        <v>46312</v>
      </c>
      <c r="F204" t="inlineStr">
        <is>
          <t>HALLANDS LÄN</t>
        </is>
      </c>
      <c r="G204" t="inlineStr">
        <is>
          <t>KUNGSBACKA</t>
        </is>
      </c>
      <c r="I204" t="n">
        <v>0.4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25757-2025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45801</v>
      </c>
      <c r="E205" s="1" t="n">
        <v>46312</v>
      </c>
      <c r="F205" t="inlineStr">
        <is>
          <t>HALLANDS LÄN</t>
        </is>
      </c>
      <c r="G205" t="inlineStr">
        <is>
          <t>KUNGSBACKA</t>
        </is>
      </c>
      <c r="I205" t="n">
        <v>8.9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48486-2025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45936</v>
      </c>
      <c r="E206" s="1" t="n">
        <v>46312</v>
      </c>
      <c r="F206" t="inlineStr">
        <is>
          <t>HALLANDS LÄN</t>
        </is>
      </c>
      <c r="G206" t="inlineStr">
        <is>
          <t>KUNGSBACKA</t>
        </is>
      </c>
      <c r="I206" t="n">
        <v>2.9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10137-2025</t>
        </is>
      </c>
      <c r="B207" t="inlineStr">
        <is>
          <t>avverkningsanmälan</t>
        </is>
      </c>
      <c r="C207" t="inlineStr">
        <is>
          <t>Avverkning för annat ändamål</t>
        </is>
      </c>
      <c r="D207" s="1" t="n">
        <v>45719</v>
      </c>
      <c r="E207" s="1" t="n">
        <v>46312</v>
      </c>
      <c r="F207" t="inlineStr">
        <is>
          <t>HALLANDS LÄN</t>
        </is>
      </c>
      <c r="G207" t="inlineStr">
        <is>
          <t>KUNGSBACKA</t>
        </is>
      </c>
      <c r="I207" t="n">
        <v>0.9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31344-2024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45504</v>
      </c>
      <c r="E208" s="1" t="n">
        <v>46312</v>
      </c>
      <c r="F208" t="inlineStr">
        <is>
          <t>HALLANDS LÄN</t>
        </is>
      </c>
      <c r="G208" t="inlineStr">
        <is>
          <t>KUNGSBACKA</t>
        </is>
      </c>
      <c r="I208" t="n">
        <v>2.3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45625-2025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45922</v>
      </c>
      <c r="E209" s="1" t="n">
        <v>46312</v>
      </c>
      <c r="F209" t="inlineStr">
        <is>
          <t>HALLANDS LÄN</t>
        </is>
      </c>
      <c r="G209" t="inlineStr">
        <is>
          <t>KUNGSBACKA</t>
        </is>
      </c>
      <c r="I209" t="n">
        <v>3.6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31302-2022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44773</v>
      </c>
      <c r="E210" s="1" t="n">
        <v>46312</v>
      </c>
      <c r="F210" t="inlineStr">
        <is>
          <t>HALLANDS LÄN</t>
        </is>
      </c>
      <c r="G210" t="inlineStr">
        <is>
          <t>KUNGSBACKA</t>
        </is>
      </c>
      <c r="I210" t="n">
        <v>2.6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17293-2025</t>
        </is>
      </c>
      <c r="B211" t="inlineStr">
        <is>
          <t>avverkningsanmälan</t>
        </is>
      </c>
      <c r="C211" t="inlineStr">
        <is>
          <t>Avverkning för annat ändamål</t>
        </is>
      </c>
      <c r="D211" s="1" t="n">
        <v>45756</v>
      </c>
      <c r="E211" s="1" t="n">
        <v>46312</v>
      </c>
      <c r="F211" t="inlineStr">
        <is>
          <t>HALLANDS LÄN</t>
        </is>
      </c>
      <c r="G211" t="inlineStr">
        <is>
          <t>KUNGSBACKA</t>
        </is>
      </c>
      <c r="I211" t="n">
        <v>0.6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65199-2023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45288</v>
      </c>
      <c r="E212" s="1" t="n">
        <v>46312</v>
      </c>
      <c r="F212" t="inlineStr">
        <is>
          <t>HALLANDS LÄN</t>
        </is>
      </c>
      <c r="G212" t="inlineStr">
        <is>
          <t>KUNGSBACKA</t>
        </is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24941-2024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45461</v>
      </c>
      <c r="E213" s="1" t="n">
        <v>46312</v>
      </c>
      <c r="F213" t="inlineStr">
        <is>
          <t>HALLANDS LÄN</t>
        </is>
      </c>
      <c r="G213" t="inlineStr">
        <is>
          <t>KUNGSBACKA</t>
        </is>
      </c>
      <c r="H213" t="inlineStr">
        <is>
          <t>Kommuner</t>
        </is>
      </c>
      <c r="I213" t="n">
        <v>0.6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15076-2025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45743</v>
      </c>
      <c r="E214" s="1" t="n">
        <v>46312</v>
      </c>
      <c r="F214" t="inlineStr">
        <is>
          <t>HALLANDS LÄN</t>
        </is>
      </c>
      <c r="G214" t="inlineStr">
        <is>
          <t>KUNGSBACKA</t>
        </is>
      </c>
      <c r="I214" t="n">
        <v>1.5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61975-2024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45653</v>
      </c>
      <c r="E215" s="1" t="n">
        <v>46312</v>
      </c>
      <c r="F215" t="inlineStr">
        <is>
          <t>HALLANDS LÄN</t>
        </is>
      </c>
      <c r="G215" t="inlineStr">
        <is>
          <t>KUNGSBACKA</t>
        </is>
      </c>
      <c r="I215" t="n">
        <v>0.3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61977-2024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45653</v>
      </c>
      <c r="E216" s="1" t="n">
        <v>46312</v>
      </c>
      <c r="F216" t="inlineStr">
        <is>
          <t>HALLANDS LÄN</t>
        </is>
      </c>
      <c r="G216" t="inlineStr">
        <is>
          <t>KUNGSBACKA</t>
        </is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14052-2023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45008</v>
      </c>
      <c r="E217" s="1" t="n">
        <v>46312</v>
      </c>
      <c r="F217" t="inlineStr">
        <is>
          <t>HALLANDS LÄN</t>
        </is>
      </c>
      <c r="G217" t="inlineStr">
        <is>
          <t>KUNGSBACKA</t>
        </is>
      </c>
      <c r="I217" t="n">
        <v>2.2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31994-2026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46232</v>
      </c>
      <c r="E218" s="1" t="n">
        <v>46312</v>
      </c>
      <c r="F218" t="inlineStr">
        <is>
          <t>HALLANDS LÄN</t>
        </is>
      </c>
      <c r="G218" t="inlineStr">
        <is>
          <t>KUNGSBACKA</t>
        </is>
      </c>
      <c r="I218" t="n">
        <v>0.8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15060-2025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45743</v>
      </c>
      <c r="E219" s="1" t="n">
        <v>46312</v>
      </c>
      <c r="F219" t="inlineStr">
        <is>
          <t>HALLANDS LÄN</t>
        </is>
      </c>
      <c r="G219" t="inlineStr">
        <is>
          <t>KUNGSBACKA</t>
        </is>
      </c>
      <c r="I219" t="n">
        <v>0.6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15062-2025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45743</v>
      </c>
      <c r="E220" s="1" t="n">
        <v>46312</v>
      </c>
      <c r="F220" t="inlineStr">
        <is>
          <t>HALLANDS LÄN</t>
        </is>
      </c>
      <c r="G220" t="inlineStr">
        <is>
          <t>KUNGSBACKA</t>
        </is>
      </c>
      <c r="I220" t="n">
        <v>2.8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15074-2025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45743</v>
      </c>
      <c r="E221" s="1" t="n">
        <v>46312</v>
      </c>
      <c r="F221" t="inlineStr">
        <is>
          <t>HALLANDS LÄN</t>
        </is>
      </c>
      <c r="G221" t="inlineStr">
        <is>
          <t>KUNGSBACKA</t>
        </is>
      </c>
      <c r="I221" t="n">
        <v>1.3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57709-2023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45246</v>
      </c>
      <c r="E222" s="1" t="n">
        <v>46312</v>
      </c>
      <c r="F222" t="inlineStr">
        <is>
          <t>HALLANDS LÄN</t>
        </is>
      </c>
      <c r="G222" t="inlineStr">
        <is>
          <t>KUNGSBACKA</t>
        </is>
      </c>
      <c r="I222" t="n">
        <v>6.6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47321-2024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45587</v>
      </c>
      <c r="E223" s="1" t="n">
        <v>46312</v>
      </c>
      <c r="F223" t="inlineStr">
        <is>
          <t>HALLANDS LÄN</t>
        </is>
      </c>
      <c r="G223" t="inlineStr">
        <is>
          <t>KUNGSBACKA</t>
        </is>
      </c>
      <c r="I223" t="n">
        <v>9.699999999999999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7810-2025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45706</v>
      </c>
      <c r="E224" s="1" t="n">
        <v>46312</v>
      </c>
      <c r="F224" t="inlineStr">
        <is>
          <t>HALLANDS LÄN</t>
        </is>
      </c>
      <c r="G224" t="inlineStr">
        <is>
          <t>KUNGSBACKA</t>
        </is>
      </c>
      <c r="I224" t="n">
        <v>3.8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21944-2026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46150</v>
      </c>
      <c r="E225" s="1" t="n">
        <v>46312</v>
      </c>
      <c r="F225" t="inlineStr">
        <is>
          <t>HALLANDS LÄN</t>
        </is>
      </c>
      <c r="G225" t="inlineStr">
        <is>
          <t>KUNGSBACKA</t>
        </is>
      </c>
      <c r="I225" t="n">
        <v>3.9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11306-2024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45371</v>
      </c>
      <c r="E226" s="1" t="n">
        <v>46312</v>
      </c>
      <c r="F226" t="inlineStr">
        <is>
          <t>HALLANDS LÄN</t>
        </is>
      </c>
      <c r="G226" t="inlineStr">
        <is>
          <t>KUNGSBACKA</t>
        </is>
      </c>
      <c r="I226" t="n">
        <v>1.7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12064-2023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44997</v>
      </c>
      <c r="E227" s="1" t="n">
        <v>46312</v>
      </c>
      <c r="F227" t="inlineStr">
        <is>
          <t>HALLANDS LÄN</t>
        </is>
      </c>
      <c r="G227" t="inlineStr">
        <is>
          <t>KUNGSBACKA</t>
        </is>
      </c>
      <c r="I227" t="n">
        <v>10.5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63598-2023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45275</v>
      </c>
      <c r="E228" s="1" t="n">
        <v>46312</v>
      </c>
      <c r="F228" t="inlineStr">
        <is>
          <t>HALLANDS LÄN</t>
        </is>
      </c>
      <c r="G228" t="inlineStr">
        <is>
          <t>KUNGSBACKA</t>
        </is>
      </c>
      <c r="I228" t="n">
        <v>1.6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32030-2024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45510</v>
      </c>
      <c r="E229" s="1" t="n">
        <v>46312</v>
      </c>
      <c r="F229" t="inlineStr">
        <is>
          <t>HALLANDS LÄN</t>
        </is>
      </c>
      <c r="G229" t="inlineStr">
        <is>
          <t>KUNGSBACKA</t>
        </is>
      </c>
      <c r="H229" t="inlineStr">
        <is>
          <t>Kyrkan</t>
        </is>
      </c>
      <c r="I229" t="n">
        <v>3.1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4145-2024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45323</v>
      </c>
      <c r="E230" s="1" t="n">
        <v>46312</v>
      </c>
      <c r="F230" t="inlineStr">
        <is>
          <t>HALLANDS LÄN</t>
        </is>
      </c>
      <c r="G230" t="inlineStr">
        <is>
          <t>KUNGSBACKA</t>
        </is>
      </c>
      <c r="I230" t="n">
        <v>2.2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48754-2023</t>
        </is>
      </c>
      <c r="B231" t="inlineStr">
        <is>
          <t>avverkningsanmälan</t>
        </is>
      </c>
      <c r="C231" t="inlineStr">
        <is>
          <t>Avverkning för annat ändamål</t>
        </is>
      </c>
      <c r="D231" s="1" t="n">
        <v>45208</v>
      </c>
      <c r="E231" s="1" t="n">
        <v>46312</v>
      </c>
      <c r="F231" t="inlineStr">
        <is>
          <t>HALLANDS LÄN</t>
        </is>
      </c>
      <c r="G231" t="inlineStr">
        <is>
          <t>KUNGSBACKA</t>
        </is>
      </c>
      <c r="I231" t="n">
        <v>1.6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14846-2024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45398</v>
      </c>
      <c r="E232" s="1" t="n">
        <v>46312</v>
      </c>
      <c r="F232" t="inlineStr">
        <is>
          <t>HALLANDS LÄN</t>
        </is>
      </c>
      <c r="G232" t="inlineStr">
        <is>
          <t>KUNGSBACKA</t>
        </is>
      </c>
      <c r="I232" t="n">
        <v>0.9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27287-2023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45096</v>
      </c>
      <c r="E233" s="1" t="n">
        <v>46312</v>
      </c>
      <c r="F233" t="inlineStr">
        <is>
          <t>HALLANDS LÄN</t>
        </is>
      </c>
      <c r="G233" t="inlineStr">
        <is>
          <t>KUNGSBACKA</t>
        </is>
      </c>
      <c r="I233" t="n">
        <v>0.4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51332-2022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44869</v>
      </c>
      <c r="E234" s="1" t="n">
        <v>46312</v>
      </c>
      <c r="F234" t="inlineStr">
        <is>
          <t>HALLANDS LÄN</t>
        </is>
      </c>
      <c r="G234" t="inlineStr">
        <is>
          <t>KUNGSBACKA</t>
        </is>
      </c>
      <c r="I234" t="n">
        <v>1.1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31884-2022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44777</v>
      </c>
      <c r="E235" s="1" t="n">
        <v>46312</v>
      </c>
      <c r="F235" t="inlineStr">
        <is>
          <t>HALLANDS LÄN</t>
        </is>
      </c>
      <c r="G235" t="inlineStr">
        <is>
          <t>KUNGSBACKA</t>
        </is>
      </c>
      <c r="I235" t="n">
        <v>1.3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40496-2026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46295</v>
      </c>
      <c r="E236" s="1" t="n">
        <v>46312</v>
      </c>
      <c r="F236" t="inlineStr">
        <is>
          <t>HALLANDS LÄN</t>
        </is>
      </c>
      <c r="G236" t="inlineStr">
        <is>
          <t>KUNGSBACKA</t>
        </is>
      </c>
      <c r="I236" t="n">
        <v>5.5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40512-2026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46295</v>
      </c>
      <c r="E237" s="1" t="n">
        <v>46312</v>
      </c>
      <c r="F237" t="inlineStr">
        <is>
          <t>HALLANDS LÄN</t>
        </is>
      </c>
      <c r="G237" t="inlineStr">
        <is>
          <t>KUNGSBACKA</t>
        </is>
      </c>
      <c r="I237" t="n">
        <v>0.5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49505-2024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45596</v>
      </c>
      <c r="E238" s="1" t="n">
        <v>46312</v>
      </c>
      <c r="F238" t="inlineStr">
        <is>
          <t>HALLANDS LÄN</t>
        </is>
      </c>
      <c r="G238" t="inlineStr">
        <is>
          <t>KUNGSBACKA</t>
        </is>
      </c>
      <c r="I238" t="n">
        <v>0.3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42412-2022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44831</v>
      </c>
      <c r="E239" s="1" t="n">
        <v>46312</v>
      </c>
      <c r="F239" t="inlineStr">
        <is>
          <t>HALLANDS LÄN</t>
        </is>
      </c>
      <c r="G239" t="inlineStr">
        <is>
          <t>KUNGSBACKA</t>
        </is>
      </c>
      <c r="I239" t="n">
        <v>1.6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16041-2025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45749</v>
      </c>
      <c r="E240" s="1" t="n">
        <v>46312</v>
      </c>
      <c r="F240" t="inlineStr">
        <is>
          <t>HALLANDS LÄN</t>
        </is>
      </c>
      <c r="G240" t="inlineStr">
        <is>
          <t>KUNGSBACKA</t>
        </is>
      </c>
      <c r="I240" t="n">
        <v>0.6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40520-2026</t>
        </is>
      </c>
      <c r="B241" t="inlineStr">
        <is>
          <t>avverkningsanmälan</t>
        </is>
      </c>
      <c r="C241" t="inlineStr">
        <is>
          <t>Avverkning för att bevara och utveckla /försöksver</t>
        </is>
      </c>
      <c r="D241" s="1" t="n">
        <v>46295</v>
      </c>
      <c r="E241" s="1" t="n">
        <v>46312</v>
      </c>
      <c r="F241" t="inlineStr">
        <is>
          <t>HALLANDS LÄN</t>
        </is>
      </c>
      <c r="G241" t="inlineStr">
        <is>
          <t>KUNGSBACKA</t>
        </is>
      </c>
      <c r="I241" t="n">
        <v>2.1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40510-2026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46295</v>
      </c>
      <c r="E242" s="1" t="n">
        <v>46312</v>
      </c>
      <c r="F242" t="inlineStr">
        <is>
          <t>HALLANDS LÄN</t>
        </is>
      </c>
      <c r="G242" t="inlineStr">
        <is>
          <t>KUNGSBACKA</t>
        </is>
      </c>
      <c r="I242" t="n">
        <v>2.5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40511-2026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46295</v>
      </c>
      <c r="E243" s="1" t="n">
        <v>46312</v>
      </c>
      <c r="F243" t="inlineStr">
        <is>
          <t>HALLANDS LÄN</t>
        </is>
      </c>
      <c r="G243" t="inlineStr">
        <is>
          <t>KUNGSBACKA</t>
        </is>
      </c>
      <c r="I243" t="n">
        <v>4.5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  <c r="Z243">
        <f>HYPERLINK("https://klasma.github.io/Logging_1384/knärot/A 40511-2026 karta knärot.png", "A 40511-2026")</f>
        <v/>
      </c>
      <c r="AA243">
        <f>HYPERLINK("https://klasma.github.io/Logging_1384/klagomål/A 40511-2026 FSC-klagomål.docx", "A 40511-2026")</f>
        <v/>
      </c>
      <c r="AB243">
        <f>HYPERLINK("https://klasma.github.io/Logging_1384/klagomålsmail/A 40511-2026 FSC-klagomål mail.docx", "A 40511-2026")</f>
        <v/>
      </c>
      <c r="AC243">
        <f>HYPERLINK("https://klasma.github.io/Logging_1384/tillsyn/A 40511-2026 tillsynsbegäran.docx", "A 40511-2026")</f>
        <v/>
      </c>
      <c r="AD243">
        <f>HYPERLINK("https://klasma.github.io/Logging_1384/tillsynsmail/A 40511-2026 tillsynsbegäran mail.docx", "A 40511-2026")</f>
        <v/>
      </c>
    </row>
    <row r="244" ht="15" customHeight="1">
      <c r="A244" t="inlineStr">
        <is>
          <t>A 61446-2024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45646</v>
      </c>
      <c r="E244" s="1" t="n">
        <v>46312</v>
      </c>
      <c r="F244" t="inlineStr">
        <is>
          <t>HALLANDS LÄN</t>
        </is>
      </c>
      <c r="G244" t="inlineStr">
        <is>
          <t>KUNGSBACKA</t>
        </is>
      </c>
      <c r="I244" t="n">
        <v>0.8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11068-2023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44992</v>
      </c>
      <c r="E245" s="1" t="n">
        <v>46312</v>
      </c>
      <c r="F245" t="inlineStr">
        <is>
          <t>HALLANDS LÄN</t>
        </is>
      </c>
      <c r="G245" t="inlineStr">
        <is>
          <t>KUNGSBACKA</t>
        </is>
      </c>
      <c r="I245" t="n">
        <v>6.3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19502-2022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44693</v>
      </c>
      <c r="E246" s="1" t="n">
        <v>46312</v>
      </c>
      <c r="F246" t="inlineStr">
        <is>
          <t>HALLANDS LÄN</t>
        </is>
      </c>
      <c r="G246" t="inlineStr">
        <is>
          <t>KUNGSBACKA</t>
        </is>
      </c>
      <c r="I246" t="n">
        <v>1.6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62742-2022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44925</v>
      </c>
      <c r="E247" s="1" t="n">
        <v>46312</v>
      </c>
      <c r="F247" t="inlineStr">
        <is>
          <t>HALLANDS LÄN</t>
        </is>
      </c>
      <c r="G247" t="inlineStr">
        <is>
          <t>KUNGSBACKA</t>
        </is>
      </c>
      <c r="I247" t="n">
        <v>0.4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41023-2026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46297</v>
      </c>
      <c r="E248" s="1" t="n">
        <v>46312</v>
      </c>
      <c r="F248" t="inlineStr">
        <is>
          <t>HALLANDS LÄN</t>
        </is>
      </c>
      <c r="G248" t="inlineStr">
        <is>
          <t>KUNGSBACKA</t>
        </is>
      </c>
      <c r="I248" t="n">
        <v>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6318-2025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45698</v>
      </c>
      <c r="E249" s="1" t="n">
        <v>46312</v>
      </c>
      <c r="F249" t="inlineStr">
        <is>
          <t>HALLANDS LÄN</t>
        </is>
      </c>
      <c r="G249" t="inlineStr">
        <is>
          <t>KUNGSBACKA</t>
        </is>
      </c>
      <c r="I249" t="n">
        <v>0.8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12404-2023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44999</v>
      </c>
      <c r="E250" s="1" t="n">
        <v>46312</v>
      </c>
      <c r="F250" t="inlineStr">
        <is>
          <t>HALLANDS LÄN</t>
        </is>
      </c>
      <c r="G250" t="inlineStr">
        <is>
          <t>KUNGSBACKA</t>
        </is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20881-2025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45777</v>
      </c>
      <c r="E251" s="1" t="n">
        <v>46312</v>
      </c>
      <c r="F251" t="inlineStr">
        <is>
          <t>HALLANDS LÄN</t>
        </is>
      </c>
      <c r="G251" t="inlineStr">
        <is>
          <t>KUNGSBACKA</t>
        </is>
      </c>
      <c r="I251" t="n">
        <v>0.5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20883-2025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45777</v>
      </c>
      <c r="E252" s="1" t="n">
        <v>46312</v>
      </c>
      <c r="F252" t="inlineStr">
        <is>
          <t>HALLANDS LÄN</t>
        </is>
      </c>
      <c r="G252" t="inlineStr">
        <is>
          <t>KUNGSBACKA</t>
        </is>
      </c>
      <c r="I252" t="n">
        <v>1.9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20781-2025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45776</v>
      </c>
      <c r="E253" s="1" t="n">
        <v>46312</v>
      </c>
      <c r="F253" t="inlineStr">
        <is>
          <t>HALLANDS LÄN</t>
        </is>
      </c>
      <c r="G253" t="inlineStr">
        <is>
          <t>KUNGSBACKA</t>
        </is>
      </c>
      <c r="I253" t="n">
        <v>5.7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34749-2026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46258</v>
      </c>
      <c r="E254" s="1" t="n">
        <v>46312</v>
      </c>
      <c r="F254" t="inlineStr">
        <is>
          <t>HALLANDS LÄN</t>
        </is>
      </c>
      <c r="G254" t="inlineStr">
        <is>
          <t>KUNGSBACKA</t>
        </is>
      </c>
      <c r="I254" t="n">
        <v>0.6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41066-2026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46300</v>
      </c>
      <c r="E255" s="1" t="n">
        <v>46312</v>
      </c>
      <c r="F255" t="inlineStr">
        <is>
          <t>HALLANDS LÄN</t>
        </is>
      </c>
      <c r="G255" t="inlineStr">
        <is>
          <t>KUNGSBACKA</t>
        </is>
      </c>
      <c r="I255" t="n">
        <v>5.6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35140-2026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46260</v>
      </c>
      <c r="E256" s="1" t="n">
        <v>46312</v>
      </c>
      <c r="F256" t="inlineStr">
        <is>
          <t>HALLANDS LÄN</t>
        </is>
      </c>
      <c r="G256" t="inlineStr">
        <is>
          <t>KUNGSBACKA</t>
        </is>
      </c>
      <c r="I256" t="n">
        <v>1.4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35198-2026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46260</v>
      </c>
      <c r="E257" s="1" t="n">
        <v>46312</v>
      </c>
      <c r="F257" t="inlineStr">
        <is>
          <t>HALLANDS LÄN</t>
        </is>
      </c>
      <c r="G257" t="inlineStr">
        <is>
          <t>KUNGSBACKA</t>
        </is>
      </c>
      <c r="I257" t="n">
        <v>1.7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34802-2026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46258</v>
      </c>
      <c r="E258" s="1" t="n">
        <v>46312</v>
      </c>
      <c r="F258" t="inlineStr">
        <is>
          <t>HALLANDS LÄN</t>
        </is>
      </c>
      <c r="G258" t="inlineStr">
        <is>
          <t>KUNGSBACKA</t>
        </is>
      </c>
      <c r="I258" t="n">
        <v>1.7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53194-2024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45610</v>
      </c>
      <c r="E259" s="1" t="n">
        <v>46312</v>
      </c>
      <c r="F259" t="inlineStr">
        <is>
          <t>HALLANDS LÄN</t>
        </is>
      </c>
      <c r="G259" t="inlineStr">
        <is>
          <t>KUNGSBACKA</t>
        </is>
      </c>
      <c r="I259" t="n">
        <v>3.1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35187-2026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46260</v>
      </c>
      <c r="E260" s="1" t="n">
        <v>46312</v>
      </c>
      <c r="F260" t="inlineStr">
        <is>
          <t>HALLANDS LÄN</t>
        </is>
      </c>
      <c r="G260" t="inlineStr">
        <is>
          <t>KUNGSBACKA</t>
        </is>
      </c>
      <c r="I260" t="n">
        <v>0.4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35189-2026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46260</v>
      </c>
      <c r="E261" s="1" t="n">
        <v>46312</v>
      </c>
      <c r="F261" t="inlineStr">
        <is>
          <t>HALLANDS LÄN</t>
        </is>
      </c>
      <c r="G261" t="inlineStr">
        <is>
          <t>KUNGSBACKA</t>
        </is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35194-2026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46260</v>
      </c>
      <c r="E262" s="1" t="n">
        <v>46312</v>
      </c>
      <c r="F262" t="inlineStr">
        <is>
          <t>HALLANDS LÄN</t>
        </is>
      </c>
      <c r="G262" t="inlineStr">
        <is>
          <t>KUNGSBACKA</t>
        </is>
      </c>
      <c r="I262" t="n">
        <v>0.6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23579-2025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45792</v>
      </c>
      <c r="E263" s="1" t="n">
        <v>46312</v>
      </c>
      <c r="F263" t="inlineStr">
        <is>
          <t>HALLANDS LÄN</t>
        </is>
      </c>
      <c r="G263" t="inlineStr">
        <is>
          <t>KUNGSBACKA</t>
        </is>
      </c>
      <c r="I263" t="n">
        <v>0.6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42375-2026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46307</v>
      </c>
      <c r="E264" s="1" t="n">
        <v>46312</v>
      </c>
      <c r="F264" t="inlineStr">
        <is>
          <t>HALLANDS LÄN</t>
        </is>
      </c>
      <c r="G264" t="inlineStr">
        <is>
          <t>KUNGSBACKA</t>
        </is>
      </c>
      <c r="I264" t="n">
        <v>1.8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3279-2025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45679</v>
      </c>
      <c r="E265" s="1" t="n">
        <v>46312</v>
      </c>
      <c r="F265" t="inlineStr">
        <is>
          <t>HALLANDS LÄN</t>
        </is>
      </c>
      <c r="G265" t="inlineStr">
        <is>
          <t>KUNGSBACKA</t>
        </is>
      </c>
      <c r="I265" t="n">
        <v>2.6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60004-2025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45993</v>
      </c>
      <c r="E266" s="1" t="n">
        <v>46312</v>
      </c>
      <c r="F266" t="inlineStr">
        <is>
          <t>HALLANDS LÄN</t>
        </is>
      </c>
      <c r="G266" t="inlineStr">
        <is>
          <t>KUNGSBACKA</t>
        </is>
      </c>
      <c r="I266" t="n">
        <v>2.5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25269-2025</t>
        </is>
      </c>
      <c r="B267" t="inlineStr">
        <is>
          <t>avverkningsanmälan</t>
        </is>
      </c>
      <c r="C267" t="inlineStr">
        <is>
          <t>Avverkning för annat ändamål</t>
        </is>
      </c>
      <c r="D267" s="1" t="n">
        <v>45800</v>
      </c>
      <c r="E267" s="1" t="n">
        <v>46312</v>
      </c>
      <c r="F267" t="inlineStr">
        <is>
          <t>HALLANDS LÄN</t>
        </is>
      </c>
      <c r="G267" t="inlineStr">
        <is>
          <t>KUNGSBACKA</t>
        </is>
      </c>
      <c r="I267" t="n">
        <v>2.8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61739-2023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45265</v>
      </c>
      <c r="E268" s="1" t="n">
        <v>46312</v>
      </c>
      <c r="F268" t="inlineStr">
        <is>
          <t>HALLANDS LÄN</t>
        </is>
      </c>
      <c r="G268" t="inlineStr">
        <is>
          <t>KUNGSBACKA</t>
        </is>
      </c>
      <c r="I268" t="n">
        <v>13.8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42616-2026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46309</v>
      </c>
      <c r="E269" s="1" t="n">
        <v>46312</v>
      </c>
      <c r="F269" t="inlineStr">
        <is>
          <t>HALLANDS LÄN</t>
        </is>
      </c>
      <c r="G269" t="inlineStr">
        <is>
          <t>KUNGSBACKA</t>
        </is>
      </c>
      <c r="I269" t="n">
        <v>5.9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20828-2025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45776</v>
      </c>
      <c r="E270" s="1" t="n">
        <v>46312</v>
      </c>
      <c r="F270" t="inlineStr">
        <is>
          <t>HALLANDS LÄN</t>
        </is>
      </c>
      <c r="G270" t="inlineStr">
        <is>
          <t>KUNGSBACKA</t>
        </is>
      </c>
      <c r="I270" t="n">
        <v>2.7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36459-2026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46269</v>
      </c>
      <c r="E271" s="1" t="n">
        <v>46312</v>
      </c>
      <c r="F271" t="inlineStr">
        <is>
          <t>HALLANDS LÄN</t>
        </is>
      </c>
      <c r="G271" t="inlineStr">
        <is>
          <t>KUNGSBACKA</t>
        </is>
      </c>
      <c r="I271" t="n">
        <v>1.1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27977-2025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45817</v>
      </c>
      <c r="E272" s="1" t="n">
        <v>46312</v>
      </c>
      <c r="F272" t="inlineStr">
        <is>
          <t>HALLANDS LÄN</t>
        </is>
      </c>
      <c r="G272" t="inlineStr">
        <is>
          <t>KUNGSBACKA</t>
        </is>
      </c>
      <c r="I272" t="n">
        <v>1.3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28610-2023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45103</v>
      </c>
      <c r="E273" s="1" t="n">
        <v>46312</v>
      </c>
      <c r="F273" t="inlineStr">
        <is>
          <t>HALLANDS LÄN</t>
        </is>
      </c>
      <c r="G273" t="inlineStr">
        <is>
          <t>KUNGSBACKA</t>
        </is>
      </c>
      <c r="I273" t="n">
        <v>1.1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28383-2025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45819</v>
      </c>
      <c r="E274" s="1" t="n">
        <v>46312</v>
      </c>
      <c r="F274" t="inlineStr">
        <is>
          <t>HALLANDS LÄN</t>
        </is>
      </c>
      <c r="G274" t="inlineStr">
        <is>
          <t>KUNGSBACKA</t>
        </is>
      </c>
      <c r="I274" t="n">
        <v>0.8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32894-2025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45839</v>
      </c>
      <c r="E275" s="1" t="n">
        <v>46312</v>
      </c>
      <c r="F275" t="inlineStr">
        <is>
          <t>HALLANDS LÄN</t>
        </is>
      </c>
      <c r="G275" t="inlineStr">
        <is>
          <t>KUNGSBACKA</t>
        </is>
      </c>
      <c r="I275" t="n">
        <v>2.7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34360-2025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45846</v>
      </c>
      <c r="E276" s="1" t="n">
        <v>46312</v>
      </c>
      <c r="F276" t="inlineStr">
        <is>
          <t>HALLANDS LÄN</t>
        </is>
      </c>
      <c r="G276" t="inlineStr">
        <is>
          <t>KUNGSBACKA</t>
        </is>
      </c>
      <c r="I276" t="n">
        <v>1.3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34407-2025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45846</v>
      </c>
      <c r="E277" s="1" t="n">
        <v>46312</v>
      </c>
      <c r="F277" t="inlineStr">
        <is>
          <t>HALLANDS LÄN</t>
        </is>
      </c>
      <c r="G277" t="inlineStr">
        <is>
          <t>KUNGSBACKA</t>
        </is>
      </c>
      <c r="I277" t="n">
        <v>1.8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34782-2025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45848</v>
      </c>
      <c r="E278" s="1" t="n">
        <v>46312</v>
      </c>
      <c r="F278" t="inlineStr">
        <is>
          <t>HALLANDS LÄN</t>
        </is>
      </c>
      <c r="G278" t="inlineStr">
        <is>
          <t>KUNGSBACKA</t>
        </is>
      </c>
      <c r="I278" t="n">
        <v>1.6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34975-2025</t>
        </is>
      </c>
      <c r="B279" t="inlineStr">
        <is>
          <t>avverkningsanmälan</t>
        </is>
      </c>
      <c r="C279" t="inlineStr">
        <is>
          <t>Avverkning för att bevara och utveckla /försöksver</t>
        </is>
      </c>
      <c r="D279" s="1" t="n">
        <v>45849</v>
      </c>
      <c r="E279" s="1" t="n">
        <v>46312</v>
      </c>
      <c r="F279" t="inlineStr">
        <is>
          <t>HALLANDS LÄN</t>
        </is>
      </c>
      <c r="G279" t="inlineStr">
        <is>
          <t>KUNGSBACKA</t>
        </is>
      </c>
      <c r="I279" t="n">
        <v>0.6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35399-2025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45855</v>
      </c>
      <c r="E280" s="1" t="n">
        <v>46312</v>
      </c>
      <c r="F280" t="inlineStr">
        <is>
          <t>HALLANDS LÄN</t>
        </is>
      </c>
      <c r="G280" t="inlineStr">
        <is>
          <t>KUNGSBACKA</t>
        </is>
      </c>
      <c r="I280" t="n">
        <v>2.6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35801-2025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45861</v>
      </c>
      <c r="E281" s="1" t="n">
        <v>46312</v>
      </c>
      <c r="F281" t="inlineStr">
        <is>
          <t>HALLANDS LÄN</t>
        </is>
      </c>
      <c r="G281" t="inlineStr">
        <is>
          <t>KUNGSBACKA</t>
        </is>
      </c>
      <c r="I281" t="n">
        <v>0.5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18179-2025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45761</v>
      </c>
      <c r="E282" s="1" t="n">
        <v>46312</v>
      </c>
      <c r="F282" t="inlineStr">
        <is>
          <t>HALLANDS LÄN</t>
        </is>
      </c>
      <c r="G282" t="inlineStr">
        <is>
          <t>KUNGSBACKA</t>
        </is>
      </c>
      <c r="I282" t="n">
        <v>1.5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33983-2023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45134</v>
      </c>
      <c r="E283" s="1" t="n">
        <v>46312</v>
      </c>
      <c r="F283" t="inlineStr">
        <is>
          <t>HALLANDS LÄN</t>
        </is>
      </c>
      <c r="G283" t="inlineStr">
        <is>
          <t>KUNGSBACKA</t>
        </is>
      </c>
      <c r="I283" t="n">
        <v>1.1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36654-2024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45537</v>
      </c>
      <c r="E284" s="1" t="n">
        <v>46312</v>
      </c>
      <c r="F284" t="inlineStr">
        <is>
          <t>HALLANDS LÄN</t>
        </is>
      </c>
      <c r="G284" t="inlineStr">
        <is>
          <t>KUNGSBACKA</t>
        </is>
      </c>
      <c r="I284" t="n">
        <v>0.5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6757-2025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45700</v>
      </c>
      <c r="E285" s="1" t="n">
        <v>46312</v>
      </c>
      <c r="F285" t="inlineStr">
        <is>
          <t>HALLANDS LÄN</t>
        </is>
      </c>
      <c r="G285" t="inlineStr">
        <is>
          <t>KUNGSBACKA</t>
        </is>
      </c>
      <c r="I285" t="n">
        <v>1.8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34315-2024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45524</v>
      </c>
      <c r="E286" s="1" t="n">
        <v>46312</v>
      </c>
      <c r="F286" t="inlineStr">
        <is>
          <t>HALLANDS LÄN</t>
        </is>
      </c>
      <c r="G286" t="inlineStr">
        <is>
          <t>KUNGSBACKA</t>
        </is>
      </c>
      <c r="I286" t="n">
        <v>0.5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34319-2024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45524</v>
      </c>
      <c r="E287" s="1" t="n">
        <v>46312</v>
      </c>
      <c r="F287" t="inlineStr">
        <is>
          <t>HALLANDS LÄN</t>
        </is>
      </c>
      <c r="G287" t="inlineStr">
        <is>
          <t>KUNGSBACKA</t>
        </is>
      </c>
      <c r="I287" t="n">
        <v>0.5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45281-2024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45576</v>
      </c>
      <c r="E288" s="1" t="n">
        <v>46312</v>
      </c>
      <c r="F288" t="inlineStr">
        <is>
          <t>HALLANDS LÄN</t>
        </is>
      </c>
      <c r="G288" t="inlineStr">
        <is>
          <t>KUNGSBACKA</t>
        </is>
      </c>
      <c r="I288" t="n">
        <v>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62664-2022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44925</v>
      </c>
      <c r="E289" s="1" t="n">
        <v>46312</v>
      </c>
      <c r="F289" t="inlineStr">
        <is>
          <t>HALLANDS LÄN</t>
        </is>
      </c>
      <c r="G289" t="inlineStr">
        <is>
          <t>KUNGSBACKA</t>
        </is>
      </c>
      <c r="I289" t="n">
        <v>1.5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41855-2024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45561</v>
      </c>
      <c r="E290" s="1" t="n">
        <v>46312</v>
      </c>
      <c r="F290" t="inlineStr">
        <is>
          <t>HALLANDS LÄN</t>
        </is>
      </c>
      <c r="G290" t="inlineStr">
        <is>
          <t>KUNGSBACKA</t>
        </is>
      </c>
      <c r="I290" t="n">
        <v>1.1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59726-2024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45639</v>
      </c>
      <c r="E291" s="1" t="n">
        <v>46312</v>
      </c>
      <c r="F291" t="inlineStr">
        <is>
          <t>HALLANDS LÄN</t>
        </is>
      </c>
      <c r="G291" t="inlineStr">
        <is>
          <t>KUNGSBACKA</t>
        </is>
      </c>
      <c r="I291" t="n">
        <v>1.3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28583-2024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45478</v>
      </c>
      <c r="E292" s="1" t="n">
        <v>46312</v>
      </c>
      <c r="F292" t="inlineStr">
        <is>
          <t>HALLANDS LÄN</t>
        </is>
      </c>
      <c r="G292" t="inlineStr">
        <is>
          <t>KUNGSBACKA</t>
        </is>
      </c>
      <c r="I292" t="n">
        <v>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10396-2024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45365</v>
      </c>
      <c r="E293" s="1" t="n">
        <v>46312</v>
      </c>
      <c r="F293" t="inlineStr">
        <is>
          <t>HALLANDS LÄN</t>
        </is>
      </c>
      <c r="G293" t="inlineStr">
        <is>
          <t>KUNGSBACKA</t>
        </is>
      </c>
      <c r="I293" t="n">
        <v>0.8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34620-2025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45847</v>
      </c>
      <c r="E294" s="1" t="n">
        <v>46312</v>
      </c>
      <c r="F294" t="inlineStr">
        <is>
          <t>HALLANDS LÄN</t>
        </is>
      </c>
      <c r="G294" t="inlineStr">
        <is>
          <t>KUNGSBACKA</t>
        </is>
      </c>
      <c r="I294" t="n">
        <v>0.6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26145-2023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45091</v>
      </c>
      <c r="E295" s="1" t="n">
        <v>46312</v>
      </c>
      <c r="F295" t="inlineStr">
        <is>
          <t>HALLANDS LÄN</t>
        </is>
      </c>
      <c r="G295" t="inlineStr">
        <is>
          <t>KUNGSBACKA</t>
        </is>
      </c>
      <c r="I295" t="n">
        <v>0.7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21279-2024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45440</v>
      </c>
      <c r="E296" s="1" t="n">
        <v>46312</v>
      </c>
      <c r="F296" t="inlineStr">
        <is>
          <t>HALLANDS LÄN</t>
        </is>
      </c>
      <c r="G296" t="inlineStr">
        <is>
          <t>KUNGSBACKA</t>
        </is>
      </c>
      <c r="I296" t="n">
        <v>1.2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6103-2024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45337</v>
      </c>
      <c r="E297" s="1" t="n">
        <v>46312</v>
      </c>
      <c r="F297" t="inlineStr">
        <is>
          <t>HALLANDS LÄN</t>
        </is>
      </c>
      <c r="G297" t="inlineStr">
        <is>
          <t>KUNGSBACKA</t>
        </is>
      </c>
      <c r="I297" t="n">
        <v>0.9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6214-2024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45337</v>
      </c>
      <c r="E298" s="1" t="n">
        <v>46312</v>
      </c>
      <c r="F298" t="inlineStr">
        <is>
          <t>HALLANDS LÄN</t>
        </is>
      </c>
      <c r="G298" t="inlineStr">
        <is>
          <t>KUNGSBACKA</t>
        </is>
      </c>
      <c r="I298" t="n">
        <v>0.9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58779-2024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45635</v>
      </c>
      <c r="E299" s="1" t="n">
        <v>46312</v>
      </c>
      <c r="F299" t="inlineStr">
        <is>
          <t>HALLANDS LÄN</t>
        </is>
      </c>
      <c r="G299" t="inlineStr">
        <is>
          <t>KUNGSBACKA</t>
        </is>
      </c>
      <c r="I299" t="n">
        <v>3.7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7709-2025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45706</v>
      </c>
      <c r="E300" s="1" t="n">
        <v>46312</v>
      </c>
      <c r="F300" t="inlineStr">
        <is>
          <t>HALLANDS LÄN</t>
        </is>
      </c>
      <c r="G300" t="inlineStr">
        <is>
          <t>KUNGSBACKA</t>
        </is>
      </c>
      <c r="I300" t="n">
        <v>6.3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22003-2024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45443</v>
      </c>
      <c r="E301" s="1" t="n">
        <v>46312</v>
      </c>
      <c r="F301" t="inlineStr">
        <is>
          <t>HALLANDS LÄN</t>
        </is>
      </c>
      <c r="G301" t="inlineStr">
        <is>
          <t>KUNGSBACKA</t>
        </is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21163-2023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45062</v>
      </c>
      <c r="E302" s="1" t="n">
        <v>46312</v>
      </c>
      <c r="F302" t="inlineStr">
        <is>
          <t>HALLANDS LÄN</t>
        </is>
      </c>
      <c r="G302" t="inlineStr">
        <is>
          <t>KUNGSBACKA</t>
        </is>
      </c>
      <c r="I302" t="n">
        <v>3.3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21171-2023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45062</v>
      </c>
      <c r="E303" s="1" t="n">
        <v>46312</v>
      </c>
      <c r="F303" t="inlineStr">
        <is>
          <t>HALLANDS LÄN</t>
        </is>
      </c>
      <c r="G303" t="inlineStr">
        <is>
          <t>KUNGSBACKA</t>
        </is>
      </c>
      <c r="I303" t="n">
        <v>3.3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21306-2023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45062</v>
      </c>
      <c r="E304" s="1" t="n">
        <v>46312</v>
      </c>
      <c r="F304" t="inlineStr">
        <is>
          <t>HALLANDS LÄN</t>
        </is>
      </c>
      <c r="G304" t="inlineStr">
        <is>
          <t>KUNGSBACKA</t>
        </is>
      </c>
      <c r="I304" t="n">
        <v>3.9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16230-2023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45028</v>
      </c>
      <c r="E305" s="1" t="n">
        <v>46312</v>
      </c>
      <c r="F305" t="inlineStr">
        <is>
          <t>HALLANDS LÄN</t>
        </is>
      </c>
      <c r="G305" t="inlineStr">
        <is>
          <t>KUNGSBACKA</t>
        </is>
      </c>
      <c r="I305" t="n">
        <v>2.5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36597-2023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45153</v>
      </c>
      <c r="E306" s="1" t="n">
        <v>46312</v>
      </c>
      <c r="F306" t="inlineStr">
        <is>
          <t>HALLANDS LÄN</t>
        </is>
      </c>
      <c r="G306" t="inlineStr">
        <is>
          <t>KUNGSBACKA</t>
        </is>
      </c>
      <c r="I306" t="n">
        <v>2.2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26148-2023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45091</v>
      </c>
      <c r="E307" s="1" t="n">
        <v>46312</v>
      </c>
      <c r="F307" t="inlineStr">
        <is>
          <t>HALLANDS LÄN</t>
        </is>
      </c>
      <c r="G307" t="inlineStr">
        <is>
          <t>KUNGSBACKA</t>
        </is>
      </c>
      <c r="I307" t="n">
        <v>0.8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63104-2023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45273</v>
      </c>
      <c r="E308" s="1" t="n">
        <v>46312</v>
      </c>
      <c r="F308" t="inlineStr">
        <is>
          <t>HALLANDS LÄN</t>
        </is>
      </c>
      <c r="G308" t="inlineStr">
        <is>
          <t>KUNGSBACKA</t>
        </is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31885-2023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45118</v>
      </c>
      <c r="E309" s="1" t="n">
        <v>46312</v>
      </c>
      <c r="F309" t="inlineStr">
        <is>
          <t>HALLANDS LÄN</t>
        </is>
      </c>
      <c r="G309" t="inlineStr">
        <is>
          <t>KUNGSBACKA</t>
        </is>
      </c>
      <c r="I309" t="n">
        <v>1.3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28574-2024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45478</v>
      </c>
      <c r="E310" s="1" t="n">
        <v>46312</v>
      </c>
      <c r="F310" t="inlineStr">
        <is>
          <t>HALLANDS LÄN</t>
        </is>
      </c>
      <c r="G310" t="inlineStr">
        <is>
          <t>KUNGSBACKA</t>
        </is>
      </c>
      <c r="I310" t="n">
        <v>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4382-2025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45686</v>
      </c>
      <c r="E311" s="1" t="n">
        <v>46312</v>
      </c>
      <c r="F311" t="inlineStr">
        <is>
          <t>HALLANDS LÄN</t>
        </is>
      </c>
      <c r="G311" t="inlineStr">
        <is>
          <t>KUNGSBACKA</t>
        </is>
      </c>
      <c r="I311" t="n">
        <v>2.6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57812-2024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45631</v>
      </c>
      <c r="E312" s="1" t="n">
        <v>46312</v>
      </c>
      <c r="F312" t="inlineStr">
        <is>
          <t>HALLANDS LÄN</t>
        </is>
      </c>
      <c r="G312" t="inlineStr">
        <is>
          <t>KUNGSBACKA</t>
        </is>
      </c>
      <c r="I312" t="n">
        <v>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37051-2025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45875</v>
      </c>
      <c r="E313" s="1" t="n">
        <v>46312</v>
      </c>
      <c r="F313" t="inlineStr">
        <is>
          <t>HALLANDS LÄN</t>
        </is>
      </c>
      <c r="G313" t="inlineStr">
        <is>
          <t>KUNGSBACKA</t>
        </is>
      </c>
      <c r="I313" t="n">
        <v>0.6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36770-2025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45873</v>
      </c>
      <c r="E314" s="1" t="n">
        <v>46312</v>
      </c>
      <c r="F314" t="inlineStr">
        <is>
          <t>HALLANDS LÄN</t>
        </is>
      </c>
      <c r="G314" t="inlineStr">
        <is>
          <t>KUNGSBACKA</t>
        </is>
      </c>
      <c r="I314" t="n">
        <v>3.3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>
      <c r="A315" t="inlineStr">
        <is>
          <t>S 59-2025</t>
        </is>
      </c>
      <c r="B315" t="inlineStr">
        <is>
          <t>samrådsanmälan</t>
        </is>
      </c>
      <c r="C315" t="inlineStr">
        <is>
          <t>Annan skogsbruksåtgärd</t>
        </is>
      </c>
      <c r="D315" s="1" t="n">
        <v>45667</v>
      </c>
      <c r="E315" s="1" t="n">
        <v>46312</v>
      </c>
      <c r="F315" t="inlineStr">
        <is>
          <t>HALLANDS LÄN</t>
        </is>
      </c>
      <c r="G315" t="inlineStr">
        <is>
          <t>KUNGSBACKA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2026-10-17T02:05:18Z</dcterms:created>
  <dcterms:modified xmlns:dcterms="http://purl.org/dc/terms/" xmlns:xsi="http://www.w3.org/2001/XMLSchema-instance" xsi:type="dcterms:W3CDTF">2026-10-17T02:05:18Z</dcterms:modified>
</cp:coreProperties>
</file>