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46263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46263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46263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46263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46263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46263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58-2025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45659</v>
      </c>
      <c r="E8" s="1" t="n">
        <v>46263</v>
      </c>
      <c r="F8" t="inlineStr">
        <is>
          <t>HALLANDS LÄN</t>
        </is>
      </c>
      <c r="G8" t="inlineStr">
        <is>
          <t>KUNGSBACKA</t>
        </is>
      </c>
      <c r="I8" t="n">
        <v>0.4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Grönsångare
Mindre hackspett
Västlig hakmossa</t>
        </is>
      </c>
      <c r="W8">
        <f>HYPERLINK("https://klasma.github.io/Logging_1384/artfynd/A 58-2025 artfynd.xlsx", "A 58-2025")</f>
        <v/>
      </c>
      <c r="X8">
        <f>HYPERLINK("https://klasma.github.io/Logging_1384/kartor/A 58-2025 karta.png", "A 58-2025")</f>
        <v/>
      </c>
      <c r="Y8">
        <f>HYPERLINK("https://klasma.github.io/Logging_1384/kartor_geotiff/A 58-2025 georefererad karta.tif", "A 58-2025")</f>
        <v/>
      </c>
      <c r="AA8">
        <f>HYPERLINK("https://klasma.github.io/Logging_1384/klagomål/A 58-2025 FSC-klagomål.docx", "A 58-2025")</f>
        <v/>
      </c>
      <c r="AB8">
        <f>HYPERLINK("https://klasma.github.io/Logging_1384/klagomålsmail/A 58-2025 FSC-klagomål mail.docx", "A 58-2025")</f>
        <v/>
      </c>
      <c r="AC8">
        <f>HYPERLINK("https://klasma.github.io/Logging_1384/tillsyn/A 58-2025 tillsynsbegäran.docx", "A 58-2025")</f>
        <v/>
      </c>
      <c r="AD8">
        <f>HYPERLINK("https://klasma.github.io/Logging_1384/tillsynsmail/A 58-2025 tillsynsbegäran mail.docx", "A 58-2025")</f>
        <v/>
      </c>
      <c r="AE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46263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46263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46263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46263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46263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46263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46263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46263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46263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46263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46263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46263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46263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7801-2025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45706</v>
      </c>
      <c r="E22" s="1" t="n">
        <v>46263</v>
      </c>
      <c r="F22" t="inlineStr">
        <is>
          <t>HALLANDS LÄN</t>
        </is>
      </c>
      <c r="G22" t="inlineStr">
        <is>
          <t>KUNGSBACKA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HYPERLINK("https://klasma.github.io/Logging_1384/artfynd/A 7801-2025 artfynd.xlsx", "A 7801-2025")</f>
        <v/>
      </c>
      <c r="X22">
        <f>HYPERLINK("https://klasma.github.io/Logging_1384/kartor/A 7801-2025 karta.png", "A 7801-2025")</f>
        <v/>
      </c>
      <c r="Y22">
        <f>HYPERLINK("https://klasma.github.io/Logging_1384/kartor_geotiff/A 7801-2025 georefererad karta.tif", "A 7801-2025")</f>
        <v/>
      </c>
      <c r="AA22">
        <f>HYPERLINK("https://klasma.github.io/Logging_1384/klagomål/A 7801-2025 FSC-klagomål.docx", "A 7801-2025")</f>
        <v/>
      </c>
      <c r="AB22">
        <f>HYPERLINK("https://klasma.github.io/Logging_1384/klagomålsmail/A 7801-2025 FSC-klagomål mail.docx", "A 7801-2025")</f>
        <v/>
      </c>
      <c r="AC22">
        <f>HYPERLINK("https://klasma.github.io/Logging_1384/tillsyn/A 7801-2025 tillsynsbegäran.docx", "A 7801-2025")</f>
        <v/>
      </c>
      <c r="AD22">
        <f>HYPERLINK("https://klasma.github.io/Logging_1384/tillsynsmail/A 7801-2025 tillsynsbegäran mail.docx", "A 7801-2025")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46263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46263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46263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21721-2023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45065</v>
      </c>
      <c r="E26" s="1" t="n">
        <v>46263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HYPERLINK("https://klasma.github.io/Logging_1384/artfynd/A 21721-2023 artfynd.xlsx", "A 21721-2023")</f>
        <v/>
      </c>
      <c r="X26">
        <f>HYPERLINK("https://klasma.github.io/Logging_1384/kartor/A 21721-2023 karta.png", "A 21721-2023")</f>
        <v/>
      </c>
      <c r="Y26">
        <f>HYPERLINK("https://klasma.github.io/Logging_1384/kartor_geotiff/A 21721-2023 georefererad karta.tif", "A 21721-2023")</f>
        <v/>
      </c>
      <c r="Z26">
        <f>HYPERLINK("https://klasma.github.io/Logging_1384/knärot/A 21721-2023 karta knärot.png", "A 21721-2023")</f>
        <v/>
      </c>
      <c r="AA26">
        <f>HYPERLINK("https://klasma.github.io/Logging_1384/klagomål/A 21721-2023 FSC-klagomål.docx", "A 21721-2023")</f>
        <v/>
      </c>
      <c r="AB26">
        <f>HYPERLINK("https://klasma.github.io/Logging_1384/klagomålsmail/A 21721-2023 FSC-klagomål mail.docx", "A 21721-2023")</f>
        <v/>
      </c>
      <c r="AC26">
        <f>HYPERLINK("https://klasma.github.io/Logging_1384/tillsyn/A 21721-2023 tillsynsbegäran.docx", "A 21721-2023")</f>
        <v/>
      </c>
      <c r="AD26">
        <f>HYPERLINK("https://klasma.github.io/Logging_1384/tillsynsmail/A 21721-2023 tillsynsbegäran mail.docx", "A 21721-2023")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46263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HYPERLINK("https://klasma.github.io/Logging_1384/artfynd/A 1765-2023 artfynd.xlsx", "A 1765-2023")</f>
        <v/>
      </c>
      <c r="X27">
        <f>HYPERLINK("https://klasma.github.io/Logging_1384/kartor/A 1765-2023 karta.png", "A 1765-2023")</f>
        <v/>
      </c>
      <c r="Y27">
        <f>HYPERLINK("https://klasma.github.io/Logging_1384/kartor_geotiff/A 1765-2023 georefererad karta.tif", "A 1765-2023")</f>
        <v/>
      </c>
      <c r="AA27">
        <f>HYPERLINK("https://klasma.github.io/Logging_1384/klagomål/A 1765-2023 FSC-klagomål.docx", "A 1765-2023")</f>
        <v/>
      </c>
      <c r="AB27">
        <f>HYPERLINK("https://klasma.github.io/Logging_1384/klagomålsmail/A 1765-2023 FSC-klagomål mail.docx", "A 1765-2023")</f>
        <v/>
      </c>
      <c r="AC27">
        <f>HYPERLINK("https://klasma.github.io/Logging_1384/tillsyn/A 1765-2023 tillsynsbegäran.docx", "A 1765-2023")</f>
        <v/>
      </c>
      <c r="AD27">
        <f>HYPERLINK("https://klasma.github.io/Logging_1384/tillsynsmail/A 1765-2023 tillsynsbegäran mail.docx", "A 1765-2023")</f>
        <v/>
      </c>
    </row>
    <row r="28" ht="15" customHeight="1">
      <c r="A28" t="inlineStr">
        <is>
          <t>A 9548-2024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45359</v>
      </c>
      <c r="E28" s="1" t="n">
        <v>46263</v>
      </c>
      <c r="F28" t="inlineStr">
        <is>
          <t>HALLANDS LÄN</t>
        </is>
      </c>
      <c r="G28" t="inlineStr">
        <is>
          <t>KUNGSBACKA</t>
        </is>
      </c>
      <c r="I28" t="n">
        <v>0.3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aspticka</t>
        </is>
      </c>
      <c r="W28">
        <f>HYPERLINK("https://klasma.github.io/Logging_1384/artfynd/A 9548-2024 artfynd.xlsx", "A 9548-2024")</f>
        <v/>
      </c>
      <c r="X28">
        <f>HYPERLINK("https://klasma.github.io/Logging_1384/kartor/A 9548-2024 karta.png", "A 9548-2024")</f>
        <v/>
      </c>
      <c r="Y28">
        <f>HYPERLINK("https://klasma.github.io/Logging_1384/kartor_geotiff/A 9548-2024 georefererad karta.tif", "A 9548-2024")</f>
        <v/>
      </c>
      <c r="AA28">
        <f>HYPERLINK("https://klasma.github.io/Logging_1384/klagomål/A 9548-2024 FSC-klagomål.docx", "A 9548-2024")</f>
        <v/>
      </c>
      <c r="AB28">
        <f>HYPERLINK("https://klasma.github.io/Logging_1384/klagomålsmail/A 9548-2024 FSC-klagomål mail.docx", "A 9548-2024")</f>
        <v/>
      </c>
      <c r="AC28">
        <f>HYPERLINK("https://klasma.github.io/Logging_1384/tillsyn/A 9548-2024 tillsynsbegäran.docx", "A 9548-2024")</f>
        <v/>
      </c>
      <c r="AD28">
        <f>HYPERLINK("https://klasma.github.io/Logging_1384/tillsynsmail/A 9548-2024 tillsynsbegäran mail.docx", "A 9548-2024")</f>
        <v/>
      </c>
    </row>
    <row r="29" ht="15" customHeight="1">
      <c r="A29" t="inlineStr">
        <is>
          <t>A 11154-2022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44629</v>
      </c>
      <c r="E29" s="1" t="n">
        <v>46263</v>
      </c>
      <c r="F29" t="inlineStr">
        <is>
          <t>HALLANDS LÄN</t>
        </is>
      </c>
      <c r="G29" t="inlineStr">
        <is>
          <t>KUNGSBACKA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HYPERLINK("https://klasma.github.io/Logging_1384/artfynd/A 11154-2022 artfynd.xlsx", "A 11154-2022")</f>
        <v/>
      </c>
      <c r="X29">
        <f>HYPERLINK("https://klasma.github.io/Logging_1384/kartor/A 11154-2022 karta.png", "A 11154-2022")</f>
        <v/>
      </c>
      <c r="Y29">
        <f>HYPERLINK("https://klasma.github.io/Logging_1384/kartor_geotiff/A 11154-2022 georefererad karta.tif", "A 11154-2022")</f>
        <v/>
      </c>
      <c r="AA29">
        <f>HYPERLINK("https://klasma.github.io/Logging_1384/klagomål/A 11154-2022 FSC-klagomål.docx", "A 11154-2022")</f>
        <v/>
      </c>
      <c r="AB29">
        <f>HYPERLINK("https://klasma.github.io/Logging_1384/klagomålsmail/A 11154-2022 FSC-klagomål mail.docx", "A 11154-2022")</f>
        <v/>
      </c>
      <c r="AC29">
        <f>HYPERLINK("https://klasma.github.io/Logging_1384/tillsyn/A 11154-2022 tillsynsbegäran.docx", "A 11154-2022")</f>
        <v/>
      </c>
      <c r="AD29">
        <f>HYPERLINK("https://klasma.github.io/Logging_1384/tillsynsmail/A 11154-2022 tillsynsbegäran mail.docx", "A 11154-2022")</f>
        <v/>
      </c>
      <c r="AE29">
        <f>HYPERLINK("https://klasma.github.io/Logging_1384/fåglar/A 11154-2022 prioriterade fågelarter.docx", "A 11154-2022")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46263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46263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46263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46263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46263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46263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46263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46263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46263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46263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46263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46263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46263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46263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46263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46263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51332-2022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46263</v>
      </c>
      <c r="F46" t="inlineStr">
        <is>
          <t>HALLANDS LÄN</t>
        </is>
      </c>
      <c r="G46" t="inlineStr">
        <is>
          <t>KUNGSBACKA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46263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46263</v>
      </c>
      <c r="F48" t="inlineStr">
        <is>
          <t>HALLANDS LÄN</t>
        </is>
      </c>
      <c r="G48" t="inlineStr">
        <is>
          <t>KUNGSBACKA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17212-2025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46263</v>
      </c>
      <c r="F49" t="inlineStr">
        <is>
          <t>HALLANDS LÄN</t>
        </is>
      </c>
      <c r="G49" t="inlineStr">
        <is>
          <t>KUNGSBACKA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46263</v>
      </c>
      <c r="F50" t="inlineStr">
        <is>
          <t>HALLANDS LÄN</t>
        </is>
      </c>
      <c r="G50" t="inlineStr">
        <is>
          <t>KUNGSBACKA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10949-2024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45370</v>
      </c>
      <c r="E51" s="1" t="n">
        <v>46263</v>
      </c>
      <c r="F51" t="inlineStr">
        <is>
          <t>HALLANDS LÄN</t>
        </is>
      </c>
      <c r="G51" t="inlineStr">
        <is>
          <t>KUNGSBACKA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46263</v>
      </c>
      <c r="F52" t="inlineStr">
        <is>
          <t>HALLANDS LÄN</t>
        </is>
      </c>
      <c r="G52" t="inlineStr">
        <is>
          <t>KUNGSBACKA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39066-2025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45888</v>
      </c>
      <c r="E53" s="1" t="n">
        <v>46263</v>
      </c>
      <c r="F53" t="inlineStr">
        <is>
          <t>HALLANDS LÄN</t>
        </is>
      </c>
      <c r="G53" t="inlineStr">
        <is>
          <t>KUNGSBACKA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46263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62742-2022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44925</v>
      </c>
      <c r="E55" s="1" t="n">
        <v>46263</v>
      </c>
      <c r="F55" t="inlineStr">
        <is>
          <t>HALLANDS LÄN</t>
        </is>
      </c>
      <c r="G55" t="inlineStr">
        <is>
          <t>KUNGSBACKA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39292-2025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46263</v>
      </c>
      <c r="F56" t="inlineStr">
        <is>
          <t>HALLANDS LÄN</t>
        </is>
      </c>
      <c r="G56" t="inlineStr">
        <is>
          <t>KUNGSBACKA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46263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55272-2025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45968</v>
      </c>
      <c r="E58" s="1" t="n">
        <v>46263</v>
      </c>
      <c r="F58" t="inlineStr">
        <is>
          <t>HALLANDS LÄN</t>
        </is>
      </c>
      <c r="G58" t="inlineStr">
        <is>
          <t>KUNGSBACKA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23579-2025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46263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53051-2021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46263</v>
      </c>
      <c r="F60" t="inlineStr">
        <is>
          <t>HALLANDS LÄN</t>
        </is>
      </c>
      <c r="G60" t="inlineStr">
        <is>
          <t>KUNGSBACKA</t>
        </is>
      </c>
      <c r="H60" t="inlineStr">
        <is>
          <t>Kommuner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45504</v>
      </c>
      <c r="E61" s="1" t="n">
        <v>46263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53194-2024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46263</v>
      </c>
      <c r="F62" t="inlineStr">
        <is>
          <t>HALLANDS LÄN</t>
        </is>
      </c>
      <c r="G62" t="inlineStr">
        <is>
          <t>KUNGSBACKA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46263</v>
      </c>
      <c r="F63" t="inlineStr">
        <is>
          <t>HALLANDS LÄN</t>
        </is>
      </c>
      <c r="G63" t="inlineStr">
        <is>
          <t>KUNGSBACKA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44942</v>
      </c>
      <c r="E64" s="1" t="n">
        <v>46263</v>
      </c>
      <c r="F64" t="inlineStr">
        <is>
          <t>HALLANDS LÄN</t>
        </is>
      </c>
      <c r="G64" t="inlineStr">
        <is>
          <t>KUNGSBACKA</t>
        </is>
      </c>
      <c r="I64" t="n">
        <v>19.2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45532</v>
      </c>
      <c r="E65" s="1" t="n">
        <v>46263</v>
      </c>
      <c r="F65" t="inlineStr">
        <is>
          <t>HALLANDS LÄN</t>
        </is>
      </c>
      <c r="G65" t="inlineStr">
        <is>
          <t>KUNGSBACKA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45532</v>
      </c>
      <c r="E66" s="1" t="n">
        <v>46263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35811-2024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45532</v>
      </c>
      <c r="E67" s="1" t="n">
        <v>46263</v>
      </c>
      <c r="F67" t="inlineStr">
        <is>
          <t>HALLANDS LÄN</t>
        </is>
      </c>
      <c r="G67" t="inlineStr">
        <is>
          <t>KUNGSBACKA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46263</v>
      </c>
      <c r="F68" t="inlineStr">
        <is>
          <t>HALLANDS LÄN</t>
        </is>
      </c>
      <c r="G68" t="inlineStr">
        <is>
          <t>KUNGSBACKA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46263</v>
      </c>
      <c r="F69" t="inlineStr">
        <is>
          <t>HALLANDS LÄN</t>
        </is>
      </c>
      <c r="G69" t="inlineStr">
        <is>
          <t>KUNGSBACKA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7335-2023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44971</v>
      </c>
      <c r="E70" s="1" t="n">
        <v>46263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46263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45922</v>
      </c>
      <c r="E72" s="1" t="n">
        <v>46263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46263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25269-2025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45800</v>
      </c>
      <c r="E74" s="1" t="n">
        <v>46263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47452-2025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46263</v>
      </c>
      <c r="F75" t="inlineStr">
        <is>
          <t>HALLANDS LÄN</t>
        </is>
      </c>
      <c r="G75" t="inlineStr">
        <is>
          <t>KUNGSBACKA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46263</v>
      </c>
      <c r="F76" t="inlineStr">
        <is>
          <t>HALLANDS LÄN</t>
        </is>
      </c>
      <c r="G76" t="inlineStr">
        <is>
          <t>KUNGSBACKA</t>
        </is>
      </c>
      <c r="I76" t="n">
        <v>13.8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46263</v>
      </c>
      <c r="F77" t="inlineStr">
        <is>
          <t>HALLANDS LÄN</t>
        </is>
      </c>
      <c r="G77" t="inlineStr">
        <is>
          <t>KUNGSBACKA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46263</v>
      </c>
      <c r="F78" t="inlineStr">
        <is>
          <t>HALLANDS LÄN</t>
        </is>
      </c>
      <c r="G78" t="inlineStr">
        <is>
          <t>KUNGSBACKA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44897</v>
      </c>
      <c r="E79" s="1" t="n">
        <v>46263</v>
      </c>
      <c r="F79" t="inlineStr">
        <is>
          <t>HALLANDS LÄN</t>
        </is>
      </c>
      <c r="G79" t="inlineStr">
        <is>
          <t>KUNGSBACKA</t>
        </is>
      </c>
      <c r="I79" t="n">
        <v>18.8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45726</v>
      </c>
      <c r="E80" s="1" t="n">
        <v>46263</v>
      </c>
      <c r="F80" t="inlineStr">
        <is>
          <t>HALLANDS LÄN</t>
        </is>
      </c>
      <c r="G80" t="inlineStr">
        <is>
          <t>KUNGSBACKA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44925</v>
      </c>
      <c r="E81" s="1" t="n">
        <v>46263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46263</v>
      </c>
      <c r="F82" t="inlineStr">
        <is>
          <t>HALLANDS LÄN</t>
        </is>
      </c>
      <c r="G82" t="inlineStr">
        <is>
          <t>KUNGSBACKA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46263</v>
      </c>
      <c r="F83" t="inlineStr">
        <is>
          <t>HALLANDS LÄN</t>
        </is>
      </c>
      <c r="G83" t="inlineStr">
        <is>
          <t>KUNGSBACKA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32030-2024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46263</v>
      </c>
      <c r="F84" t="inlineStr">
        <is>
          <t>HALLANDS LÄN</t>
        </is>
      </c>
      <c r="G84" t="inlineStr">
        <is>
          <t>KUNGSBACKA</t>
        </is>
      </c>
      <c r="H84" t="inlineStr">
        <is>
          <t>Kyrkan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27977-2025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46263</v>
      </c>
      <c r="F85" t="inlineStr">
        <is>
          <t>HALLANDS LÄN</t>
        </is>
      </c>
      <c r="G85" t="inlineStr">
        <is>
          <t>KUNGSBACKA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46263</v>
      </c>
      <c r="F86" t="inlineStr">
        <is>
          <t>HALLANDS LÄN</t>
        </is>
      </c>
      <c r="G86" t="inlineStr">
        <is>
          <t>KUNGSBACKA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46263</v>
      </c>
      <c r="F87" t="inlineStr">
        <is>
          <t>HALLANDS LÄN</t>
        </is>
      </c>
      <c r="G87" t="inlineStr">
        <is>
          <t>KUNGSBACKA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46263</v>
      </c>
      <c r="F88" t="inlineStr">
        <is>
          <t>HALLANDS LÄN</t>
        </is>
      </c>
      <c r="G88" t="inlineStr">
        <is>
          <t>KUNGSBACKA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28900-2025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46263</v>
      </c>
      <c r="F89" t="inlineStr">
        <is>
          <t>HALLANDS LÄN</t>
        </is>
      </c>
      <c r="G89" t="inlineStr">
        <is>
          <t>KUNGSBACKA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51523-2025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45950</v>
      </c>
      <c r="E90" s="1" t="n">
        <v>46263</v>
      </c>
      <c r="F90" t="inlineStr">
        <is>
          <t>HALLANDS LÄN</t>
        </is>
      </c>
      <c r="G90" t="inlineStr">
        <is>
          <t>KUNGSBACKA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44873</v>
      </c>
      <c r="E91" s="1" t="n">
        <v>46263</v>
      </c>
      <c r="F91" t="inlineStr">
        <is>
          <t>HALLANDS LÄN</t>
        </is>
      </c>
      <c r="G91" t="inlineStr">
        <is>
          <t>KUNGSBACKA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46263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45560</v>
      </c>
      <c r="E93" s="1" t="n">
        <v>46263</v>
      </c>
      <c r="F93" t="inlineStr">
        <is>
          <t>HALLANDS LÄN</t>
        </is>
      </c>
      <c r="G93" t="inlineStr">
        <is>
          <t>KUNGSBACKA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46263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44600</v>
      </c>
      <c r="E95" s="1" t="n">
        <v>46263</v>
      </c>
      <c r="F95" t="inlineStr">
        <is>
          <t>HALLANDS LÄN</t>
        </is>
      </c>
      <c r="G95" t="inlineStr">
        <is>
          <t>KUNGSBACKA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19502-2022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44693</v>
      </c>
      <c r="E96" s="1" t="n">
        <v>46263</v>
      </c>
      <c r="F96" t="inlineStr">
        <is>
          <t>HALLANDS LÄN</t>
        </is>
      </c>
      <c r="G96" t="inlineStr">
        <is>
          <t>KUNGSBACKA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57709-2023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45246</v>
      </c>
      <c r="E97" s="1" t="n">
        <v>46263</v>
      </c>
      <c r="F97" t="inlineStr">
        <is>
          <t>HALLANDS LÄN</t>
        </is>
      </c>
      <c r="G97" t="inlineStr">
        <is>
          <t>KUNGSBACKA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10269-2023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46263</v>
      </c>
      <c r="F98" t="inlineStr">
        <is>
          <t>HALLANDS LÄN</t>
        </is>
      </c>
      <c r="G98" t="inlineStr">
        <is>
          <t>KUNGSBACKA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46263</v>
      </c>
      <c r="F99" t="inlineStr">
        <is>
          <t>HALLANDS LÄN</t>
        </is>
      </c>
      <c r="G99" t="inlineStr">
        <is>
          <t>KUNGSBACKA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34086-2025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45845</v>
      </c>
      <c r="E100" s="1" t="n">
        <v>46263</v>
      </c>
      <c r="F100" t="inlineStr">
        <is>
          <t>HALLANDS LÄN</t>
        </is>
      </c>
      <c r="G100" t="inlineStr">
        <is>
          <t>KUNGSBACKA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34360-2025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46263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46263</v>
      </c>
      <c r="F102" t="inlineStr">
        <is>
          <t>HALLANDS LÄN</t>
        </is>
      </c>
      <c r="G102" t="inlineStr">
        <is>
          <t>KUNGSBACKA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45848</v>
      </c>
      <c r="E103" s="1" t="n">
        <v>46263</v>
      </c>
      <c r="F103" t="inlineStr">
        <is>
          <t>HALLANDS LÄN</t>
        </is>
      </c>
      <c r="G103" t="inlineStr">
        <is>
          <t>KUNGSBACKA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30996-2023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46263</v>
      </c>
      <c r="F104" t="inlineStr">
        <is>
          <t>HALLANDS LÄN</t>
        </is>
      </c>
      <c r="G104" t="inlineStr">
        <is>
          <t>KUNGSBACKA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34975-2025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45849</v>
      </c>
      <c r="E105" s="1" t="n">
        <v>46263</v>
      </c>
      <c r="F105" t="inlineStr">
        <is>
          <t>HALLANDS LÄN</t>
        </is>
      </c>
      <c r="G105" t="inlineStr">
        <is>
          <t>KUNGSBACKA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46263</v>
      </c>
      <c r="F106" t="inlineStr">
        <is>
          <t>HALLANDS LÄN</t>
        </is>
      </c>
      <c r="G106" t="inlineStr">
        <is>
          <t>KUNGSBACKA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46263</v>
      </c>
      <c r="F107" t="inlineStr">
        <is>
          <t>HALLANDS LÄN</t>
        </is>
      </c>
      <c r="G107" t="inlineStr">
        <is>
          <t>KUNGSBACKA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45008</v>
      </c>
      <c r="E108" s="1" t="n">
        <v>46263</v>
      </c>
      <c r="F108" t="inlineStr">
        <is>
          <t>HALLANDS LÄN</t>
        </is>
      </c>
      <c r="G108" t="inlineStr">
        <is>
          <t>KUNGSBACKA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45861</v>
      </c>
      <c r="E109" s="1" t="n">
        <v>46263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35898-2025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45862</v>
      </c>
      <c r="E110" s="1" t="n">
        <v>46263</v>
      </c>
      <c r="F110" t="inlineStr">
        <is>
          <t>HALLANDS LÄN</t>
        </is>
      </c>
      <c r="G110" t="inlineStr">
        <is>
          <t>KUNGSBACKA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46263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45478</v>
      </c>
      <c r="E112" s="1" t="n">
        <v>46263</v>
      </c>
      <c r="F112" t="inlineStr">
        <is>
          <t>HALLANDS LÄN</t>
        </is>
      </c>
      <c r="G112" t="inlineStr">
        <is>
          <t>KUNGSBACKA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46263</v>
      </c>
      <c r="F113" t="inlineStr">
        <is>
          <t>HALLANDS LÄN</t>
        </is>
      </c>
      <c r="G113" t="inlineStr">
        <is>
          <t>KUNGSBACKA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46263</v>
      </c>
      <c r="F114" t="inlineStr">
        <is>
          <t>HALLANDS LÄN</t>
        </is>
      </c>
      <c r="G114" t="inlineStr">
        <is>
          <t>KUNGSBACKA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36770-2025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45873</v>
      </c>
      <c r="E115" s="1" t="n">
        <v>46263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45478</v>
      </c>
      <c r="E116" s="1" t="n">
        <v>46263</v>
      </c>
      <c r="F116" t="inlineStr">
        <is>
          <t>HALLANDS LÄN</t>
        </is>
      </c>
      <c r="G116" t="inlineStr">
        <is>
          <t>KUNGSBACKA</t>
        </is>
      </c>
      <c r="I116" t="n">
        <v>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46263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46263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46263</v>
      </c>
      <c r="F119" t="inlineStr">
        <is>
          <t>HALLANDS LÄN</t>
        </is>
      </c>
      <c r="G119" t="inlineStr">
        <is>
          <t>KUNGSBACKA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45524</v>
      </c>
      <c r="E120" s="1" t="n">
        <v>46263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46263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46263</v>
      </c>
      <c r="F122" t="inlineStr">
        <is>
          <t>HALLANDS LÄN</t>
        </is>
      </c>
      <c r="G122" t="inlineStr">
        <is>
          <t>KUNGSBACKA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45686</v>
      </c>
      <c r="E123" s="1" t="n">
        <v>46263</v>
      </c>
      <c r="F123" t="inlineStr">
        <is>
          <t>HALLANDS LÄN</t>
        </is>
      </c>
      <c r="G123" t="inlineStr">
        <is>
          <t>KUNGSBACKA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45440</v>
      </c>
      <c r="E124" s="1" t="n">
        <v>46263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36597-2023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45153</v>
      </c>
      <c r="E125" s="1" t="n">
        <v>46263</v>
      </c>
      <c r="F125" t="inlineStr">
        <is>
          <t>HALLANDS LÄN</t>
        </is>
      </c>
      <c r="G125" t="inlineStr">
        <is>
          <t>KUNGSBACKA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46263</v>
      </c>
      <c r="F126" t="inlineStr">
        <is>
          <t>HALLANDS LÄN</t>
        </is>
      </c>
      <c r="G126" t="inlineStr">
        <is>
          <t>KUNGSBACKA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46263</v>
      </c>
      <c r="F127" t="inlineStr">
        <is>
          <t>HALLANDS LÄN</t>
        </is>
      </c>
      <c r="G127" t="inlineStr">
        <is>
          <t>KUNGSBACKA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45118</v>
      </c>
      <c r="E128" s="1" t="n">
        <v>46263</v>
      </c>
      <c r="F128" t="inlineStr">
        <is>
          <t>HALLANDS LÄN</t>
        </is>
      </c>
      <c r="G128" t="inlineStr">
        <is>
          <t>KUNGSBACKA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21163-2023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45062</v>
      </c>
      <c r="E129" s="1" t="n">
        <v>46263</v>
      </c>
      <c r="F129" t="inlineStr">
        <is>
          <t>HALLANDS LÄN</t>
        </is>
      </c>
      <c r="G129" t="inlineStr">
        <is>
          <t>KUNGSBACKA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63104-2023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45273</v>
      </c>
      <c r="E130" s="1" t="n">
        <v>46263</v>
      </c>
      <c r="F130" t="inlineStr">
        <is>
          <t>HALLANDS LÄN</t>
        </is>
      </c>
      <c r="G130" t="inlineStr">
        <is>
          <t>KUNGSBACKA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46263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33983-2023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45134</v>
      </c>
      <c r="E132" s="1" t="n">
        <v>46263</v>
      </c>
      <c r="F132" t="inlineStr">
        <is>
          <t>HALLANDS LÄN</t>
        </is>
      </c>
      <c r="G132" t="inlineStr">
        <is>
          <t>KUNGSBACKA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46263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59726-2024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45639</v>
      </c>
      <c r="E134" s="1" t="n">
        <v>46263</v>
      </c>
      <c r="F134" t="inlineStr">
        <is>
          <t>HALLANDS LÄN</t>
        </is>
      </c>
      <c r="G134" t="inlineStr">
        <is>
          <t>KUNGSBACKA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45700</v>
      </c>
      <c r="E135" s="1" t="n">
        <v>46263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45062</v>
      </c>
      <c r="E136" s="1" t="n">
        <v>46263</v>
      </c>
      <c r="F136" t="inlineStr">
        <is>
          <t>HALLANDS LÄN</t>
        </is>
      </c>
      <c r="G136" t="inlineStr">
        <is>
          <t>KUNGSBACKA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45062</v>
      </c>
      <c r="E137" s="1" t="n">
        <v>46263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45635</v>
      </c>
      <c r="E138" s="1" t="n">
        <v>46263</v>
      </c>
      <c r="F138" t="inlineStr">
        <is>
          <t>HALLANDS LÄN</t>
        </is>
      </c>
      <c r="G138" t="inlineStr">
        <is>
          <t>KUNGSBACKA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46263</v>
      </c>
      <c r="F139" t="inlineStr">
        <is>
          <t>HALLANDS LÄN</t>
        </is>
      </c>
      <c r="G139" t="inlineStr">
        <is>
          <t>KUNGSBACKA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45576</v>
      </c>
      <c r="E140" s="1" t="n">
        <v>46263</v>
      </c>
      <c r="F140" t="inlineStr">
        <is>
          <t>HALLANDS LÄN</t>
        </is>
      </c>
      <c r="G140" t="inlineStr">
        <is>
          <t>KUNGSBACKA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44925</v>
      </c>
      <c r="E141" s="1" t="n">
        <v>46263</v>
      </c>
      <c r="F141" t="inlineStr">
        <is>
          <t>HALLANDS LÄN</t>
        </is>
      </c>
      <c r="G141" t="inlineStr">
        <is>
          <t>KUNGSBACKA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46263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37051-2025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45875</v>
      </c>
      <c r="E143" s="1" t="n">
        <v>46263</v>
      </c>
      <c r="F143" t="inlineStr">
        <is>
          <t>HALLANDS LÄN</t>
        </is>
      </c>
      <c r="G143" t="inlineStr">
        <is>
          <t>KUNGSBACKA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46263</v>
      </c>
      <c r="F144" t="inlineStr">
        <is>
          <t>HALLANDS LÄN</t>
        </is>
      </c>
      <c r="G144" t="inlineStr">
        <is>
          <t>KUNGSBACKA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46263</v>
      </c>
      <c r="F145" t="inlineStr">
        <is>
          <t>HALLANDS LÄN</t>
        </is>
      </c>
      <c r="G145" t="inlineStr">
        <is>
          <t>KUNGSBACKA</t>
        </is>
      </c>
      <c r="H145" t="inlineStr">
        <is>
          <t>Kommuner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46263</v>
      </c>
      <c r="F146" t="inlineStr">
        <is>
          <t>HALLANDS LÄN</t>
        </is>
      </c>
      <c r="G146" t="inlineStr">
        <is>
          <t>KUNGSBACKA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46263</v>
      </c>
      <c r="F147" t="inlineStr">
        <is>
          <t>HALLANDS LÄN</t>
        </is>
      </c>
      <c r="G147" t="inlineStr">
        <is>
          <t>KUNGSBACKA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46263</v>
      </c>
      <c r="F148" t="inlineStr">
        <is>
          <t>HALLANDS LÄN</t>
        </is>
      </c>
      <c r="G148" t="inlineStr">
        <is>
          <t>KUNGSBACKA</t>
        </is>
      </c>
      <c r="H148" t="inlineStr">
        <is>
          <t>Kyrkan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9412-2024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46263</v>
      </c>
      <c r="F149" t="inlineStr">
        <is>
          <t>HALLANDS LÄN</t>
        </is>
      </c>
      <c r="G149" t="inlineStr">
        <is>
          <t>KUNGSBACKA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51978-2024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46263</v>
      </c>
      <c r="F150" t="inlineStr">
        <is>
          <t>HALLANDS LÄN</t>
        </is>
      </c>
      <c r="G150" t="inlineStr">
        <is>
          <t>KUNGSBACKA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46263</v>
      </c>
      <c r="F151" t="inlineStr">
        <is>
          <t>HALLANDS LÄN</t>
        </is>
      </c>
      <c r="G151" t="inlineStr">
        <is>
          <t>KUNGSBACKA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46263</v>
      </c>
      <c r="F152" t="inlineStr">
        <is>
          <t>HALLANDS LÄN</t>
        </is>
      </c>
      <c r="G152" t="inlineStr">
        <is>
          <t>KUNGSBACKA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15060-2025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46263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46263</v>
      </c>
      <c r="F154" t="inlineStr">
        <is>
          <t>HALLANDS LÄN</t>
        </is>
      </c>
      <c r="G154" t="inlineStr">
        <is>
          <t>KUNGSBACKA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46263</v>
      </c>
      <c r="F155" t="inlineStr">
        <is>
          <t>HALLANDS LÄN</t>
        </is>
      </c>
      <c r="G155" t="inlineStr">
        <is>
          <t>KUNGSBACKA</t>
        </is>
      </c>
      <c r="H155" t="inlineStr">
        <is>
          <t>Övriga Aktiebolag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46263</v>
      </c>
      <c r="F156" t="inlineStr">
        <is>
          <t>HALLANDS LÄN</t>
        </is>
      </c>
      <c r="G156" t="inlineStr">
        <is>
          <t>KUNGSBACKA</t>
        </is>
      </c>
      <c r="H156" t="inlineStr">
        <is>
          <t>Övriga Aktiebolag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9965-2025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45719</v>
      </c>
      <c r="E157" s="1" t="n">
        <v>46263</v>
      </c>
      <c r="F157" t="inlineStr">
        <is>
          <t>HALLANDS LÄN</t>
        </is>
      </c>
      <c r="G157" t="inlineStr">
        <is>
          <t>KUNGSBACKA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9976-2025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45719</v>
      </c>
      <c r="E158" s="1" t="n">
        <v>46263</v>
      </c>
      <c r="F158" t="inlineStr">
        <is>
          <t>HALLANDS LÄN</t>
        </is>
      </c>
      <c r="G158" t="inlineStr">
        <is>
          <t>KUNGSBACKA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45728</v>
      </c>
      <c r="E159" s="1" t="n">
        <v>46263</v>
      </c>
      <c r="F159" t="inlineStr">
        <is>
          <t>HALLANDS LÄN</t>
        </is>
      </c>
      <c r="G159" t="inlineStr">
        <is>
          <t>KUNGSBACKA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46263</v>
      </c>
      <c r="F160" t="inlineStr">
        <is>
          <t>HALLANDS LÄN</t>
        </is>
      </c>
      <c r="G160" t="inlineStr">
        <is>
          <t>KUNGSBACKA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16075-2025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45749</v>
      </c>
      <c r="E161" s="1" t="n">
        <v>46263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46263</v>
      </c>
      <c r="F162" t="inlineStr">
        <is>
          <t>HALLANDS LÄN</t>
        </is>
      </c>
      <c r="G162" t="inlineStr">
        <is>
          <t>KUNGSBACKA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45461</v>
      </c>
      <c r="E163" s="1" t="n">
        <v>46263</v>
      </c>
      <c r="F163" t="inlineStr">
        <is>
          <t>HALLANDS LÄN</t>
        </is>
      </c>
      <c r="G163" t="inlineStr">
        <is>
          <t>KUNGSBACKA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46263</v>
      </c>
      <c r="F164" t="inlineStr">
        <is>
          <t>HALLANDS LÄN</t>
        </is>
      </c>
      <c r="G164" t="inlineStr">
        <is>
          <t>KUNGSBACKA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46263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46263</v>
      </c>
      <c r="F166" t="inlineStr">
        <is>
          <t>HALLANDS LÄN</t>
        </is>
      </c>
      <c r="G166" t="inlineStr">
        <is>
          <t>KUNGSBACKA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59623-2024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45638</v>
      </c>
      <c r="E167" s="1" t="n">
        <v>46263</v>
      </c>
      <c r="F167" t="inlineStr">
        <is>
          <t>HALLANDS LÄN</t>
        </is>
      </c>
      <c r="G167" t="inlineStr">
        <is>
          <t>KUNGSBACKA</t>
        </is>
      </c>
      <c r="I167" t="n">
        <v>19.2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44468</v>
      </c>
      <c r="E168" s="1" t="n">
        <v>46263</v>
      </c>
      <c r="F168" t="inlineStr">
        <is>
          <t>HALLANDS LÄN</t>
        </is>
      </c>
      <c r="G168" t="inlineStr">
        <is>
          <t>KUNGSBACKA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46779-2022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44851</v>
      </c>
      <c r="E169" s="1" t="n">
        <v>46263</v>
      </c>
      <c r="F169" t="inlineStr">
        <is>
          <t>HALLANDS LÄN</t>
        </is>
      </c>
      <c r="G169" t="inlineStr">
        <is>
          <t>KUNGSBACKA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46052</v>
      </c>
      <c r="E170" s="1" t="n">
        <v>46263</v>
      </c>
      <c r="F170" t="inlineStr">
        <is>
          <t>HALLANDS LÄN</t>
        </is>
      </c>
      <c r="G170" t="inlineStr">
        <is>
          <t>KUNGSBACKA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46054</v>
      </c>
      <c r="E171" s="1" t="n">
        <v>46263</v>
      </c>
      <c r="F171" t="inlineStr">
        <is>
          <t>HALLANDS LÄN</t>
        </is>
      </c>
      <c r="G171" t="inlineStr">
        <is>
          <t>KUNGSBACKA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46054</v>
      </c>
      <c r="E172" s="1" t="n">
        <v>46263</v>
      </c>
      <c r="F172" t="inlineStr">
        <is>
          <t>HALLANDS LÄN</t>
        </is>
      </c>
      <c r="G172" t="inlineStr">
        <is>
          <t>KUNGSBACKA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46054</v>
      </c>
      <c r="E173" s="1" t="n">
        <v>46263</v>
      </c>
      <c r="F173" t="inlineStr">
        <is>
          <t>HALLANDS LÄN</t>
        </is>
      </c>
      <c r="G173" t="inlineStr">
        <is>
          <t>KUNGSBACKA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46263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46263</v>
      </c>
      <c r="F175" t="inlineStr">
        <is>
          <t>HALLANDS LÄN</t>
        </is>
      </c>
      <c r="G175" t="inlineStr">
        <is>
          <t>KUNGSBACKA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46263</v>
      </c>
      <c r="F176" t="inlineStr">
        <is>
          <t>HALLANDS LÄN</t>
        </is>
      </c>
      <c r="G176" t="inlineStr">
        <is>
          <t>KUNGSBACKA</t>
        </is>
      </c>
      <c r="I176" t="n">
        <v>15.2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45656</v>
      </c>
      <c r="E177" s="1" t="n">
        <v>46263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45656</v>
      </c>
      <c r="E178" s="1" t="n">
        <v>46263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46263</v>
      </c>
      <c r="F179" t="inlineStr">
        <is>
          <t>HALLANDS LÄN</t>
        </is>
      </c>
      <c r="G179" t="inlineStr">
        <is>
          <t>KUNGSBACKA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17293-2025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45756</v>
      </c>
      <c r="E180" s="1" t="n">
        <v>46263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45755</v>
      </c>
      <c r="E181" s="1" t="n">
        <v>46263</v>
      </c>
      <c r="F181" t="inlineStr">
        <is>
          <t>HALLANDS LÄN</t>
        </is>
      </c>
      <c r="G181" t="inlineStr">
        <is>
          <t>KUNGSBACKA</t>
        </is>
      </c>
      <c r="H181" t="inlineStr">
        <is>
          <t>Övriga Aktiebolag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45653</v>
      </c>
      <c r="E182" s="1" t="n">
        <v>46263</v>
      </c>
      <c r="F182" t="inlineStr">
        <is>
          <t>HALLANDS LÄN</t>
        </is>
      </c>
      <c r="G182" t="inlineStr">
        <is>
          <t>KUNGSBACKA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44831</v>
      </c>
      <c r="E183" s="1" t="n">
        <v>46263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44997</v>
      </c>
      <c r="E184" s="1" t="n">
        <v>46263</v>
      </c>
      <c r="F184" t="inlineStr">
        <is>
          <t>HALLANDS LÄN</t>
        </is>
      </c>
      <c r="G184" t="inlineStr">
        <is>
          <t>KUNGSBACKA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71676-2021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46263</v>
      </c>
      <c r="F185" t="inlineStr">
        <is>
          <t>HALLANDS LÄN</t>
        </is>
      </c>
      <c r="G185" t="inlineStr">
        <is>
          <t>KUNGSBACKA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14898-2023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45014</v>
      </c>
      <c r="E186" s="1" t="n">
        <v>46263</v>
      </c>
      <c r="F186" t="inlineStr">
        <is>
          <t>HALLANDS LÄN</t>
        </is>
      </c>
      <c r="G186" t="inlineStr">
        <is>
          <t>KUNGSBACKA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46263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46263</v>
      </c>
      <c r="F188" t="inlineStr">
        <is>
          <t>HALLANDS LÄN</t>
        </is>
      </c>
      <c r="G188" t="inlineStr">
        <is>
          <t>KUNGSBACKA</t>
        </is>
      </c>
      <c r="H188" t="inlineStr">
        <is>
          <t>Kommuner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46263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46263</v>
      </c>
      <c r="F190" t="inlineStr">
        <is>
          <t>HALLANDS LÄN</t>
        </is>
      </c>
      <c r="G190" t="inlineStr">
        <is>
          <t>KUNGSBACKA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46263</v>
      </c>
      <c r="F191" t="inlineStr">
        <is>
          <t>HALLANDS LÄN</t>
        </is>
      </c>
      <c r="G191" t="inlineStr">
        <is>
          <t>KUNGSBACKA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46263</v>
      </c>
      <c r="F192" t="inlineStr">
        <is>
          <t>HALLANDS LÄN</t>
        </is>
      </c>
      <c r="G192" t="inlineStr">
        <is>
          <t>KUNGSBACKA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10799-2026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46263</v>
      </c>
      <c r="F193" t="inlineStr">
        <is>
          <t>HALLANDS LÄN</t>
        </is>
      </c>
      <c r="G193" t="inlineStr">
        <is>
          <t>KUNGSBACKA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45275</v>
      </c>
      <c r="E194" s="1" t="n">
        <v>46263</v>
      </c>
      <c r="F194" t="inlineStr">
        <is>
          <t>HALLANDS LÄN</t>
        </is>
      </c>
      <c r="G194" t="inlineStr">
        <is>
          <t>KUNGSBACKA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12048-2026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46086</v>
      </c>
      <c r="E195" s="1" t="n">
        <v>46263</v>
      </c>
      <c r="F195" t="inlineStr">
        <is>
          <t>HALLANDS LÄN</t>
        </is>
      </c>
      <c r="G195" t="inlineStr">
        <is>
          <t>KUNGSBACKA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46263</v>
      </c>
      <c r="F196" t="inlineStr">
        <is>
          <t>HALLANDS LÄN</t>
        </is>
      </c>
      <c r="G196" t="inlineStr">
        <is>
          <t>KUNGSBACKA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46263</v>
      </c>
      <c r="F197" t="inlineStr">
        <is>
          <t>HALLANDS LÄN</t>
        </is>
      </c>
      <c r="G197" t="inlineStr">
        <is>
          <t>KUNGSBACKA</t>
        </is>
      </c>
      <c r="I197" t="n">
        <v>9.699999999999999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46263</v>
      </c>
      <c r="F198" t="inlineStr">
        <is>
          <t>HALLANDS LÄN</t>
        </is>
      </c>
      <c r="G198" t="inlineStr">
        <is>
          <t>KUNGSBACKA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46263</v>
      </c>
      <c r="F199" t="inlineStr">
        <is>
          <t>HALLANDS LÄN</t>
        </is>
      </c>
      <c r="G199" t="inlineStr">
        <is>
          <t>KUNGSBACKA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46263</v>
      </c>
      <c r="F200" t="inlineStr">
        <is>
          <t>HALLANDS LÄN</t>
        </is>
      </c>
      <c r="G200" t="inlineStr">
        <is>
          <t>KUNGSBACKA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45659</v>
      </c>
      <c r="E201" s="1" t="n">
        <v>46263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46263</v>
      </c>
      <c r="F202" t="inlineStr">
        <is>
          <t>HALLANDS LÄN</t>
        </is>
      </c>
      <c r="G202" t="inlineStr">
        <is>
          <t>KUNGSBACKA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46263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46263</v>
      </c>
      <c r="F204" t="inlineStr">
        <is>
          <t>HALLANDS LÄN</t>
        </is>
      </c>
      <c r="G204" t="inlineStr">
        <is>
          <t>KUNGSBACKA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46263</v>
      </c>
      <c r="F205" t="inlineStr">
        <is>
          <t>HALLANDS LÄN</t>
        </is>
      </c>
      <c r="G205" t="inlineStr">
        <is>
          <t>KUNGSBACKA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44789</v>
      </c>
      <c r="E206" s="1" t="n">
        <v>46263</v>
      </c>
      <c r="F206" t="inlineStr">
        <is>
          <t>HALLANDS LÄN</t>
        </is>
      </c>
      <c r="G206" t="inlineStr">
        <is>
          <t>KUNGSBACKA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46263</v>
      </c>
      <c r="F207" t="inlineStr">
        <is>
          <t>HALLANDS LÄN</t>
        </is>
      </c>
      <c r="G207" t="inlineStr">
        <is>
          <t>KUNGSBACKA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18077-2026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46125</v>
      </c>
      <c r="E208" s="1" t="n">
        <v>46263</v>
      </c>
      <c r="F208" t="inlineStr">
        <is>
          <t>HALLANDS LÄN</t>
        </is>
      </c>
      <c r="G208" t="inlineStr">
        <is>
          <t>KUNGSBACKA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44684</v>
      </c>
      <c r="E209" s="1" t="n">
        <v>46263</v>
      </c>
      <c r="F209" t="inlineStr">
        <is>
          <t>HALLANDS LÄN</t>
        </is>
      </c>
      <c r="G209" t="inlineStr">
        <is>
          <t>KUNGSBACKA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44613</v>
      </c>
      <c r="E210" s="1" t="n">
        <v>46263</v>
      </c>
      <c r="F210" t="inlineStr">
        <is>
          <t>HALLANDS LÄN</t>
        </is>
      </c>
      <c r="G210" t="inlineStr">
        <is>
          <t>KUNGSBACKA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46263</v>
      </c>
      <c r="F211" t="inlineStr">
        <is>
          <t>HALLANDS LÄN</t>
        </is>
      </c>
      <c r="G211" t="inlineStr">
        <is>
          <t>KUNGSBACKA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44773</v>
      </c>
      <c r="E212" s="1" t="n">
        <v>46263</v>
      </c>
      <c r="F212" t="inlineStr">
        <is>
          <t>HALLANDS LÄN</t>
        </is>
      </c>
      <c r="G212" t="inlineStr">
        <is>
          <t>KUNGSBACKA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46263</v>
      </c>
      <c r="F213" t="inlineStr">
        <is>
          <t>HALLANDS LÄN</t>
        </is>
      </c>
      <c r="G213" t="inlineStr">
        <is>
          <t>KUNGSBACKA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58324-2024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46263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45632</v>
      </c>
      <c r="E215" s="1" t="n">
        <v>46263</v>
      </c>
      <c r="F215" t="inlineStr">
        <is>
          <t>HALLANDS LÄN</t>
        </is>
      </c>
      <c r="G215" t="inlineStr">
        <is>
          <t>KUNGSBACKA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46263</v>
      </c>
      <c r="F216" t="inlineStr">
        <is>
          <t>HALLANDS LÄN</t>
        </is>
      </c>
      <c r="G216" t="inlineStr">
        <is>
          <t>KUNGSBACKA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46263</v>
      </c>
      <c r="F217" t="inlineStr">
        <is>
          <t>HALLANDS LÄN</t>
        </is>
      </c>
      <c r="G217" t="inlineStr">
        <is>
          <t>KUNGSBACKA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6507-2025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45699</v>
      </c>
      <c r="E218" s="1" t="n">
        <v>46263</v>
      </c>
      <c r="F218" t="inlineStr">
        <is>
          <t>HALLANDS LÄN</t>
        </is>
      </c>
      <c r="G218" t="inlineStr">
        <is>
          <t>KUNGSBACKA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10124-2025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45719</v>
      </c>
      <c r="E219" s="1" t="n">
        <v>46263</v>
      </c>
      <c r="F219" t="inlineStr">
        <is>
          <t>HALLANDS LÄN</t>
        </is>
      </c>
      <c r="G219" t="inlineStr">
        <is>
          <t>KUNGSBACKA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10140-2025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45719</v>
      </c>
      <c r="E220" s="1" t="n">
        <v>46263</v>
      </c>
      <c r="F220" t="inlineStr">
        <is>
          <t>HALLANDS LÄN</t>
        </is>
      </c>
      <c r="G220" t="inlineStr">
        <is>
          <t>KUNGSBACKA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16041-2025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46263</v>
      </c>
      <c r="F221" t="inlineStr">
        <is>
          <t>HALLANDS LÄN</t>
        </is>
      </c>
      <c r="G221" t="inlineStr">
        <is>
          <t>KUNGSBACKA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46263</v>
      </c>
      <c r="F222" t="inlineStr">
        <is>
          <t>HALLANDS LÄN</t>
        </is>
      </c>
      <c r="G222" t="inlineStr">
        <is>
          <t>KUNGSBACKA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45801</v>
      </c>
      <c r="E223" s="1" t="n">
        <v>46263</v>
      </c>
      <c r="F223" t="inlineStr">
        <is>
          <t>HALLANDS LÄN</t>
        </is>
      </c>
      <c r="G223" t="inlineStr">
        <is>
          <t>KUNGSBACKA</t>
        </is>
      </c>
      <c r="I223" t="n">
        <v>8.9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62741-2022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44925</v>
      </c>
      <c r="E224" s="1" t="n">
        <v>46263</v>
      </c>
      <c r="F224" t="inlineStr">
        <is>
          <t>HALLANDS LÄN</t>
        </is>
      </c>
      <c r="G224" t="inlineStr">
        <is>
          <t>KUNGSBACKA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15122-2025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45744</v>
      </c>
      <c r="E225" s="1" t="n">
        <v>46263</v>
      </c>
      <c r="F225" t="inlineStr">
        <is>
          <t>HALLANDS LÄN</t>
        </is>
      </c>
      <c r="G225" t="inlineStr">
        <is>
          <t>KUNGSBACKA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46263</v>
      </c>
      <c r="F226" t="inlineStr">
        <is>
          <t>HALLANDS LÄN</t>
        </is>
      </c>
      <c r="G226" t="inlineStr">
        <is>
          <t>KUNGSBACKA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46263</v>
      </c>
      <c r="F227" t="inlineStr">
        <is>
          <t>HALLANDS LÄN</t>
        </is>
      </c>
      <c r="G227" t="inlineStr">
        <is>
          <t>KUNGSBACKA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46263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46263</v>
      </c>
      <c r="F229" t="inlineStr">
        <is>
          <t>HALLANDS LÄN</t>
        </is>
      </c>
      <c r="G229" t="inlineStr">
        <is>
          <t>KUNGSBACKA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45728</v>
      </c>
      <c r="E230" s="1" t="n">
        <v>46263</v>
      </c>
      <c r="F230" t="inlineStr">
        <is>
          <t>HALLANDS LÄN</t>
        </is>
      </c>
      <c r="G230" t="inlineStr">
        <is>
          <t>KUNGSBACKA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45504</v>
      </c>
      <c r="E231" s="1" t="n">
        <v>46263</v>
      </c>
      <c r="F231" t="inlineStr">
        <is>
          <t>HALLANDS LÄN</t>
        </is>
      </c>
      <c r="G231" t="inlineStr">
        <is>
          <t>KUNGSBACKA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37823-2023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46263</v>
      </c>
      <c r="F232" t="inlineStr">
        <is>
          <t>HALLANDS LÄN</t>
        </is>
      </c>
      <c r="G232" t="inlineStr">
        <is>
          <t>KUNGSBACKA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45867</v>
      </c>
      <c r="E233" s="1" t="n">
        <v>46263</v>
      </c>
      <c r="F233" t="inlineStr">
        <is>
          <t>HALLANDS LÄN</t>
        </is>
      </c>
      <c r="G233" t="inlineStr">
        <is>
          <t>KUNGSBACKA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45820</v>
      </c>
      <c r="E234" s="1" t="n">
        <v>46263</v>
      </c>
      <c r="F234" t="inlineStr">
        <is>
          <t>HALLANDS LÄN</t>
        </is>
      </c>
      <c r="G234" t="inlineStr">
        <is>
          <t>KUNGSBACKA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45701</v>
      </c>
      <c r="E235" s="1" t="n">
        <v>46263</v>
      </c>
      <c r="F235" t="inlineStr">
        <is>
          <t>HALLANDS LÄN</t>
        </is>
      </c>
      <c r="G235" t="inlineStr">
        <is>
          <t>KUNGSBACKA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46263</v>
      </c>
      <c r="F236" t="inlineStr">
        <is>
          <t>HALLANDS LÄN</t>
        </is>
      </c>
      <c r="G236" t="inlineStr">
        <is>
          <t>KUNGSBACKA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46263</v>
      </c>
      <c r="F237" t="inlineStr">
        <is>
          <t>HALLANDS LÄN</t>
        </is>
      </c>
      <c r="G237" t="inlineStr">
        <is>
          <t>KUNGSBACKA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45525</v>
      </c>
      <c r="E238" s="1" t="n">
        <v>46263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46263</v>
      </c>
      <c r="F239" t="inlineStr">
        <is>
          <t>HALLANDS LÄN</t>
        </is>
      </c>
      <c r="G239" t="inlineStr">
        <is>
          <t>KUNGSBACKA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44593</v>
      </c>
      <c r="E240" s="1" t="n">
        <v>46263</v>
      </c>
      <c r="F240" t="inlineStr">
        <is>
          <t>HALLANDS LÄN</t>
        </is>
      </c>
      <c r="G240" t="inlineStr">
        <is>
          <t>KUNGSBACKA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46263</v>
      </c>
      <c r="F241" t="inlineStr">
        <is>
          <t>HALLANDS LÄN</t>
        </is>
      </c>
      <c r="G241" t="inlineStr">
        <is>
          <t>KUNGSBACKA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31617-2022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44775</v>
      </c>
      <c r="E242" s="1" t="n">
        <v>46263</v>
      </c>
      <c r="F242" t="inlineStr">
        <is>
          <t>HALLANDS LÄN</t>
        </is>
      </c>
      <c r="G242" t="inlineStr">
        <is>
          <t>KUNGSBACKA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57056-2022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44895</v>
      </c>
      <c r="E243" s="1" t="n">
        <v>46263</v>
      </c>
      <c r="F243" t="inlineStr">
        <is>
          <t>HALLANDS LÄN</t>
        </is>
      </c>
      <c r="G243" t="inlineStr">
        <is>
          <t>KUNGSBACKA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45371</v>
      </c>
      <c r="E244" s="1" t="n">
        <v>46263</v>
      </c>
      <c r="F244" t="inlineStr">
        <is>
          <t>HALLANDS LÄN</t>
        </is>
      </c>
      <c r="G244" t="inlineStr">
        <is>
          <t>KUNGSBACKA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46263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45323</v>
      </c>
      <c r="E246" s="1" t="n">
        <v>46263</v>
      </c>
      <c r="F246" t="inlineStr">
        <is>
          <t>HALLANDS LÄN</t>
        </is>
      </c>
      <c r="G246" t="inlineStr">
        <is>
          <t>KUNGSBACKA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46263</v>
      </c>
      <c r="F247" t="inlineStr">
        <is>
          <t>HALLANDS LÄN</t>
        </is>
      </c>
      <c r="G247" t="inlineStr">
        <is>
          <t>KUNGSBACKA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28529-2022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44748</v>
      </c>
      <c r="E248" s="1" t="n">
        <v>46263</v>
      </c>
      <c r="F248" t="inlineStr">
        <is>
          <t>HALLANDS LÄN</t>
        </is>
      </c>
      <c r="G248" t="inlineStr">
        <is>
          <t>KUNGSBACKA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44869</v>
      </c>
      <c r="E249" s="1" t="n">
        <v>46263</v>
      </c>
      <c r="F249" t="inlineStr">
        <is>
          <t>HALLANDS LÄN</t>
        </is>
      </c>
      <c r="G249" t="inlineStr">
        <is>
          <t>KUNGSBACKA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46263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45131</v>
      </c>
      <c r="E251" s="1" t="n">
        <v>46263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45035</v>
      </c>
      <c r="E252" s="1" t="n">
        <v>46263</v>
      </c>
      <c r="F252" t="inlineStr">
        <is>
          <t>HALLANDS LÄN</t>
        </is>
      </c>
      <c r="G252" t="inlineStr">
        <is>
          <t>KUNGSBACKA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46263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46263</v>
      </c>
      <c r="F254" t="inlineStr">
        <is>
          <t>HALLANDS LÄN</t>
        </is>
      </c>
      <c r="G254" t="inlineStr">
        <is>
          <t>KUNGSBACKA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46263</v>
      </c>
      <c r="F255" t="inlineStr">
        <is>
          <t>HALLANDS LÄN</t>
        </is>
      </c>
      <c r="G255" t="inlineStr">
        <is>
          <t>KUNGSBACKA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71891-2021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44543</v>
      </c>
      <c r="E256" s="1" t="n">
        <v>46263</v>
      </c>
      <c r="F256" t="inlineStr">
        <is>
          <t>HALLANDS LÄN</t>
        </is>
      </c>
      <c r="G256" t="inlineStr">
        <is>
          <t>KUNGSBACKA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46263</v>
      </c>
      <c r="F257" t="inlineStr">
        <is>
          <t>HALLANDS LÄN</t>
        </is>
      </c>
      <c r="G257" t="inlineStr">
        <is>
          <t>KUNGSBACKA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46263</v>
      </c>
      <c r="F258" t="inlineStr">
        <is>
          <t>HALLANDS LÄN</t>
        </is>
      </c>
      <c r="G258" t="inlineStr">
        <is>
          <t>KUNGSBACKA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45691</v>
      </c>
      <c r="E259" s="1" t="n">
        <v>46263</v>
      </c>
      <c r="F259" t="inlineStr">
        <is>
          <t>HALLANDS LÄN</t>
        </is>
      </c>
      <c r="G259" t="inlineStr">
        <is>
          <t>KUNGSBACKA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11293-2024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46263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46263</v>
      </c>
      <c r="F261" t="inlineStr">
        <is>
          <t>HALLANDS LÄN</t>
        </is>
      </c>
      <c r="G261" t="inlineStr">
        <is>
          <t>KUNGSBACKA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46263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46263</v>
      </c>
      <c r="F263" t="inlineStr">
        <is>
          <t>HALLANDS LÄN</t>
        </is>
      </c>
      <c r="G263" t="inlineStr">
        <is>
          <t>KUNGSBACKA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46263</v>
      </c>
      <c r="F264" t="inlineStr">
        <is>
          <t>HALLANDS LÄN</t>
        </is>
      </c>
      <c r="G264" t="inlineStr">
        <is>
          <t>KUNGSBACKA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28036-2023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45099</v>
      </c>
      <c r="E265" s="1" t="n">
        <v>46263</v>
      </c>
      <c r="F265" t="inlineStr">
        <is>
          <t>HALLANDS LÄN</t>
        </is>
      </c>
      <c r="G265" t="inlineStr">
        <is>
          <t>KUNGSBACKA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56293-2023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45242</v>
      </c>
      <c r="E266" s="1" t="n">
        <v>46263</v>
      </c>
      <c r="F266" t="inlineStr">
        <is>
          <t>HALLANDS LÄN</t>
        </is>
      </c>
      <c r="G266" t="inlineStr">
        <is>
          <t>KUNGSBACKA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45242</v>
      </c>
      <c r="E267" s="1" t="n">
        <v>46263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46263</v>
      </c>
      <c r="F268" t="inlineStr">
        <is>
          <t>HALLANDS LÄN</t>
        </is>
      </c>
      <c r="G268" t="inlineStr">
        <is>
          <t>KUNGSBACKA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15061-2025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46263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49505-2024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45596</v>
      </c>
      <c r="E270" s="1" t="n">
        <v>46263</v>
      </c>
      <c r="F270" t="inlineStr">
        <is>
          <t>HALLANDS LÄN</t>
        </is>
      </c>
      <c r="G270" t="inlineStr">
        <is>
          <t>KUNGSBACKA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46263</v>
      </c>
      <c r="F271" t="inlineStr">
        <is>
          <t>HALLANDS LÄN</t>
        </is>
      </c>
      <c r="G271" t="inlineStr">
        <is>
          <t>KUNGSBACKA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48754-2023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45208</v>
      </c>
      <c r="E272" s="1" t="n">
        <v>46263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31884-2022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44777</v>
      </c>
      <c r="E273" s="1" t="n">
        <v>46263</v>
      </c>
      <c r="F273" t="inlineStr">
        <is>
          <t>HALLANDS LÄN</t>
        </is>
      </c>
      <c r="G273" t="inlineStr">
        <is>
          <t>KUNGSBACKA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46263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11097-2023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46263</v>
      </c>
      <c r="F275" t="inlineStr">
        <is>
          <t>HALLANDS LÄN</t>
        </is>
      </c>
      <c r="G275" t="inlineStr">
        <is>
          <t>KUNGSBACKA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46263</v>
      </c>
      <c r="F276" t="inlineStr">
        <is>
          <t>HALLANDS LÄN</t>
        </is>
      </c>
      <c r="G276" t="inlineStr">
        <is>
          <t>KUNGSBACKA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61975-2024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45653</v>
      </c>
      <c r="E277" s="1" t="n">
        <v>46263</v>
      </c>
      <c r="F277" t="inlineStr">
        <is>
          <t>HALLANDS LÄN</t>
        </is>
      </c>
      <c r="G277" t="inlineStr">
        <is>
          <t>KUNGSBACKA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45653</v>
      </c>
      <c r="E278" s="1" t="n">
        <v>46263</v>
      </c>
      <c r="F278" t="inlineStr">
        <is>
          <t>HALLANDS LÄN</t>
        </is>
      </c>
      <c r="G278" t="inlineStr">
        <is>
          <t>KUNGSBACKA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12831-2025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46263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46263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45617</v>
      </c>
      <c r="E281" s="1" t="n">
        <v>46263</v>
      </c>
      <c r="F281" t="inlineStr">
        <is>
          <t>HALLANDS LÄN</t>
        </is>
      </c>
      <c r="G281" t="inlineStr">
        <is>
          <t>KUNGSBACKA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46263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46263</v>
      </c>
      <c r="F283" t="inlineStr">
        <is>
          <t>HALLANDS LÄN</t>
        </is>
      </c>
      <c r="G283" t="inlineStr">
        <is>
          <t>KUNGSBACKA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45323</v>
      </c>
      <c r="E284" s="1" t="n">
        <v>46263</v>
      </c>
      <c r="F284" t="inlineStr">
        <is>
          <t>HALLANDS LÄN</t>
        </is>
      </c>
      <c r="G284" t="inlineStr">
        <is>
          <t>KUNGSBACKA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45776</v>
      </c>
      <c r="E285" s="1" t="n">
        <v>46263</v>
      </c>
      <c r="F285" t="inlineStr">
        <is>
          <t>HALLANDS LÄN</t>
        </is>
      </c>
      <c r="G285" t="inlineStr">
        <is>
          <t>KUNGSBACKA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46263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20883-2025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46263</v>
      </c>
      <c r="F287" t="inlineStr">
        <is>
          <t>HALLANDS LÄN</t>
        </is>
      </c>
      <c r="G287" t="inlineStr">
        <is>
          <t>KUNGSBACKA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44674-2025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45917</v>
      </c>
      <c r="E288" s="1" t="n">
        <v>46263</v>
      </c>
      <c r="F288" t="inlineStr">
        <is>
          <t>HALLANDS LÄN</t>
        </is>
      </c>
      <c r="G288" t="inlineStr">
        <is>
          <t>KUNGSBACKA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46263</v>
      </c>
      <c r="F289" t="inlineStr">
        <is>
          <t>HALLANDS LÄN</t>
        </is>
      </c>
      <c r="G289" t="inlineStr">
        <is>
          <t>KUNGSBACKA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45881</v>
      </c>
      <c r="E290" s="1" t="n">
        <v>46263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46263</v>
      </c>
      <c r="F291" t="inlineStr">
        <is>
          <t>HALLANDS LÄN</t>
        </is>
      </c>
      <c r="G291" t="inlineStr">
        <is>
          <t>KUNGSBACKA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21944-2026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46263</v>
      </c>
      <c r="F292" t="inlineStr">
        <is>
          <t>HALLANDS LÄN</t>
        </is>
      </c>
      <c r="G292" t="inlineStr">
        <is>
          <t>KUNGSBACKA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46263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46263</v>
      </c>
      <c r="F294" t="inlineStr">
        <is>
          <t>HALLANDS LÄN</t>
        </is>
      </c>
      <c r="G294" t="inlineStr">
        <is>
          <t>KUNGSBACKA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25351-2026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46176</v>
      </c>
      <c r="E295" s="1" t="n">
        <v>46263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25337-2026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46176</v>
      </c>
      <c r="E296" s="1" t="n">
        <v>46263</v>
      </c>
      <c r="F296" t="inlineStr">
        <is>
          <t>HALLANDS LÄN</t>
        </is>
      </c>
      <c r="G296" t="inlineStr">
        <is>
          <t>KUNGSBACKA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25349-2026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46263</v>
      </c>
      <c r="F297" t="inlineStr">
        <is>
          <t>HALLANDS LÄN</t>
        </is>
      </c>
      <c r="G297" t="inlineStr">
        <is>
          <t>KUNGSBACKA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45639-2025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46263</v>
      </c>
      <c r="F298" t="inlineStr">
        <is>
          <t>HALLANDS LÄN</t>
        </is>
      </c>
      <c r="G298" t="inlineStr">
        <is>
          <t>KUNGSBACKA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46184</v>
      </c>
      <c r="E299" s="1" t="n">
        <v>46263</v>
      </c>
      <c r="F299" t="inlineStr">
        <is>
          <t>HALLANDS LÄN</t>
        </is>
      </c>
      <c r="G299" t="inlineStr">
        <is>
          <t>KUNGSBACKA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26675-2026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46263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46263</v>
      </c>
      <c r="F301" t="inlineStr">
        <is>
          <t>HALLANDS LÄN</t>
        </is>
      </c>
      <c r="G301" t="inlineStr">
        <is>
          <t>KUNGSBACKA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26726-2026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46184</v>
      </c>
      <c r="E302" s="1" t="n">
        <v>46263</v>
      </c>
      <c r="F302" t="inlineStr">
        <is>
          <t>HALLANDS LÄN</t>
        </is>
      </c>
      <c r="G302" t="inlineStr">
        <is>
          <t>KUNGSBACKA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46263</v>
      </c>
      <c r="F303" t="inlineStr">
        <is>
          <t>HALLANDS LÄN</t>
        </is>
      </c>
      <c r="G303" t="inlineStr">
        <is>
          <t>KUNGSBACKA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26733-2026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46184</v>
      </c>
      <c r="E304" s="1" t="n">
        <v>46263</v>
      </c>
      <c r="F304" t="inlineStr">
        <is>
          <t>HALLANDS LÄN</t>
        </is>
      </c>
      <c r="G304" t="inlineStr">
        <is>
          <t>KUNGSBACKA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46263</v>
      </c>
      <c r="F305" t="inlineStr">
        <is>
          <t>HALLANDS LÄN</t>
        </is>
      </c>
      <c r="G305" t="inlineStr">
        <is>
          <t>KUNGSBACKA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46263</v>
      </c>
      <c r="F306" t="inlineStr">
        <is>
          <t>HALLANDS LÄN</t>
        </is>
      </c>
      <c r="G306" t="inlineStr">
        <is>
          <t>KUNGSBACKA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46263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46263</v>
      </c>
      <c r="F308" t="inlineStr">
        <is>
          <t>HALLANDS LÄN</t>
        </is>
      </c>
      <c r="G308" t="inlineStr">
        <is>
          <t>KUNGSBACKA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28515-2026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46263</v>
      </c>
      <c r="F309" t="inlineStr">
        <is>
          <t>HALLANDS LÄN</t>
        </is>
      </c>
      <c r="G309" t="inlineStr">
        <is>
          <t>KUNGSBACKA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65199-2023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45288</v>
      </c>
      <c r="E310" s="1" t="n">
        <v>46263</v>
      </c>
      <c r="F310" t="inlineStr">
        <is>
          <t>HALLANDS LÄN</t>
        </is>
      </c>
      <c r="G310" t="inlineStr">
        <is>
          <t>KUNGSBACKA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34749-2026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46263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46263</v>
      </c>
      <c r="F312" t="inlineStr">
        <is>
          <t>HALLANDS LÄN</t>
        </is>
      </c>
      <c r="G312" t="inlineStr">
        <is>
          <t>KUNGSBACKA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46263</v>
      </c>
      <c r="F313" t="inlineStr">
        <is>
          <t>HALLANDS LÄN</t>
        </is>
      </c>
      <c r="G313" t="inlineStr">
        <is>
          <t>KUNGSBACKA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46263</v>
      </c>
      <c r="F314" t="inlineStr">
        <is>
          <t>HALLANDS LÄN</t>
        </is>
      </c>
      <c r="G314" t="inlineStr">
        <is>
          <t>KUNGSBACKA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46263</v>
      </c>
      <c r="F315" t="inlineStr">
        <is>
          <t>HALLANDS LÄN</t>
        </is>
      </c>
      <c r="G315" t="inlineStr">
        <is>
          <t>KUNGSBACKA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46263</v>
      </c>
      <c r="F316" t="inlineStr">
        <is>
          <t>HALLANDS LÄN</t>
        </is>
      </c>
      <c r="G316" t="inlineStr">
        <is>
          <t>KUNGSBACKA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35194-2026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46260</v>
      </c>
      <c r="E317" s="1" t="n">
        <v>46263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46263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2026-08-29T01:55:46Z</dcterms:created>
  <dcterms:modified xmlns:dcterms="http://purl.org/dc/terms/" xmlns:xsi="http://www.w3.org/2001/XMLSchema-instance" xsi:type="dcterms:W3CDTF">2026-08-29T01:55:46Z</dcterms:modified>
</cp:coreProperties>
</file>