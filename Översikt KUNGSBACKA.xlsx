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45744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45744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45744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45744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45744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45744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45744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45744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45744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45744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11010-2025 artfynd.xlsx", "A 11010-2025")</f>
        <v/>
      </c>
      <c r="T21">
        <f>HYPERLINK("https://klasma.github.io/Logging_1384/kartor/A 11010-2025 karta.png", "A 11010-2025")</f>
        <v/>
      </c>
      <c r="V21">
        <f>HYPERLINK("https://klasma.github.io/Logging_1384/klagomål/A 11010-2025 FSC-klagomål.docx", "A 11010-2025")</f>
        <v/>
      </c>
      <c r="W21">
        <f>HYPERLINK("https://klasma.github.io/Logging_1384/klagomålsmail/A 11010-2025 FSC-klagomål mail.docx", "A 11010-2025")</f>
        <v/>
      </c>
      <c r="X21">
        <f>HYPERLINK("https://klasma.github.io/Logging_1384/tillsyn/A 11010-2025 tillsynsbegäran.docx", "A 11010-2025")</f>
        <v/>
      </c>
      <c r="Y21">
        <f>HYPERLINK("https://klasma.github.io/Logging_1384/tillsynsmail/A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45744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HYPERLINK("https://klasma.github.io/Logging_1384/artfynd/A 13932-2025 artfynd.xlsx", "A 13932-2025")</f>
        <v/>
      </c>
      <c r="T22">
        <f>HYPERLINK("https://klasma.github.io/Logging_1384/kartor/A 13932-2025 karta.png", "A 13932-2025")</f>
        <v/>
      </c>
      <c r="V22">
        <f>HYPERLINK("https://klasma.github.io/Logging_1384/klagomål/A 13932-2025 FSC-klagomål.docx", "A 13932-2025")</f>
        <v/>
      </c>
      <c r="W22">
        <f>HYPERLINK("https://klasma.github.io/Logging_1384/klagomålsmail/A 13932-2025 FSC-klagomål mail.docx", "A 13932-2025")</f>
        <v/>
      </c>
      <c r="X22">
        <f>HYPERLINK("https://klasma.github.io/Logging_1384/tillsyn/A 13932-2025 tillsynsbegäran.docx", "A 13932-2025")</f>
        <v/>
      </c>
      <c r="Y22">
        <f>HYPERLINK("https://klasma.github.io/Logging_1384/tillsynsmail/A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45744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45744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45744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45744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45744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45744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45744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45744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45744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45744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45744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45744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45744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45744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45744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45744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45744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45744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45744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45744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45744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45744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45744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45744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45744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45744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45744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45744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45744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45744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45744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45744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45744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45744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45744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45744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45744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45744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45744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45744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45744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45744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45744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45744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45744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45744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45744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45744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45744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45744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45744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45744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45744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45744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45744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45744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45744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45744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45744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45744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45744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45744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45744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45744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45744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45744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45744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45744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45744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45744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45744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45744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45744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45744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45744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45744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45744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45744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45744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45744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45744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45744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45744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45744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45744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45744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45744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45744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45744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45744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45744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45744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45744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45744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45744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45744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45744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45744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45744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45744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45744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45744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45744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45744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45744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45744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45744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45744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45744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45744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45744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45744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45744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45744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45744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45744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45744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45744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45744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45744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45744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45744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45744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45744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45744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45744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45744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45744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45744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45744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45744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45744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45744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45744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45744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45744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45744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45744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45744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45744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45744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45744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45744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45744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45744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45744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45744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45744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45744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45744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45744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45744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45744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45744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45744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45744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45744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45744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45744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45744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45744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45744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45744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45744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45744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45744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45744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45744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45744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45744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45744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45744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45744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45744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45744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45744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45744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45744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45744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45744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45744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45744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45744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45744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45744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45744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45744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45744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45744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45744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45744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45744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45744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45744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45744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45744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45744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45744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45744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45744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45744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45744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45744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45744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45744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45744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45744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45744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45744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45744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45744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45744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45744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45744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45744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45744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45744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45744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45744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45744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45744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45744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45744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45744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45744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45744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45744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45744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45744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45744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45744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45744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45744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45744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45744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45744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45744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45744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45744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45744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45744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45744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45744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45744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45744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45744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45744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45744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45744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45744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45744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45744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45744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45744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45744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45744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45744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45744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45744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45744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45744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45744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45744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45744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45744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45744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45744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45744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45744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45744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45744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45744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45744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45744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45744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45744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45744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45744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45744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45744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45744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45744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45744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45744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45744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45744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45744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45744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45744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45744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45744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45744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45744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45744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45744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45744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45744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45744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45744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45744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45744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45744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45744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45744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45744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45744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45744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45744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45744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45744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45744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45744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45744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45744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45744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45744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45744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45744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45744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45744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45744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45744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45744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45744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45744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45744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45744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45744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45744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45744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45744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45744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45744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45744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45744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45744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45744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45744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45744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45744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45744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45744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45744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45744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45744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45744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45744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45744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45744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45744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45744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45744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45744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45744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45744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45744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45744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45744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45744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45744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45744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45744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45744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45744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45744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45744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45744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45744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45744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45744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45744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45744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45744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45744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45744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45744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45744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45744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45744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45744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45744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45744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45744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45744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45744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45744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45744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45744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45744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45744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45744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45744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45744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45744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45744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45744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45744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45744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45744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45744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45744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45744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45744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45744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45744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45744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45744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45744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45744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45744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45744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45744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45744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45744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45744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45744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45744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45744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45744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45744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45744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45744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45744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45744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45744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45744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45744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45744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45744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45744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45744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45744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45744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45744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45744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45744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45744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45744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45744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45744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45744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45744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45744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45744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45744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45744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45744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45744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9965-2025</t>
        </is>
      </c>
      <c r="B474" s="1" t="n">
        <v>45719</v>
      </c>
      <c r="C474" s="1" t="n">
        <v>45744</v>
      </c>
      <c r="D474" t="inlineStr">
        <is>
          <t>HALLANDS LÄN</t>
        </is>
      </c>
      <c r="E474" t="inlineStr">
        <is>
          <t>KUNGSBACKA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45744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10137-2025</t>
        </is>
      </c>
      <c r="B476" s="1" t="n">
        <v>45719</v>
      </c>
      <c r="C476" s="1" t="n">
        <v>45744</v>
      </c>
      <c r="D476" t="inlineStr">
        <is>
          <t>HALLANDS LÄN</t>
        </is>
      </c>
      <c r="E476" t="inlineStr">
        <is>
          <t>KUNGSBACKA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45744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45744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45744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45744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45744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45744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45744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45744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45744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11434-2025</t>
        </is>
      </c>
      <c r="B486" s="1" t="n">
        <v>45726</v>
      </c>
      <c r="C486" s="1" t="n">
        <v>45744</v>
      </c>
      <c r="D486" t="inlineStr">
        <is>
          <t>HALLANDS LÄN</t>
        </is>
      </c>
      <c r="E486" t="inlineStr">
        <is>
          <t>KUNGSBACKA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45744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45744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45744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45744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45744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45744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12218-2025</t>
        </is>
      </c>
      <c r="B493" s="1" t="n">
        <v>45729</v>
      </c>
      <c r="C493" s="1" t="n">
        <v>45744</v>
      </c>
      <c r="D493" t="inlineStr">
        <is>
          <t>HALLANDS LÄN</t>
        </is>
      </c>
      <c r="E493" t="inlineStr">
        <is>
          <t>KUNGSBACKA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45744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45744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45744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45744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45744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45744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45744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14719-2025</t>
        </is>
      </c>
      <c r="B501" s="1" t="n">
        <v>45742</v>
      </c>
      <c r="C501" s="1" t="n">
        <v>45744</v>
      </c>
      <c r="D501" t="inlineStr">
        <is>
          <t>HALLANDS LÄN</t>
        </is>
      </c>
      <c r="E501" t="inlineStr">
        <is>
          <t>KUNGSBACKA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45744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45744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45744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15062-2025</t>
        </is>
      </c>
      <c r="B505" s="1" t="n">
        <v>45743</v>
      </c>
      <c r="C505" s="1" t="n">
        <v>45744</v>
      </c>
      <c r="D505" t="inlineStr">
        <is>
          <t>HALLANDS LÄN</t>
        </is>
      </c>
      <c r="E505" t="inlineStr">
        <is>
          <t>KUNGSBACKA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15061-2025</t>
        </is>
      </c>
      <c r="B506" s="1" t="n">
        <v>45743</v>
      </c>
      <c r="C506" s="1" t="n">
        <v>45744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15074-2025</t>
        </is>
      </c>
      <c r="B507" s="1" t="n">
        <v>45743</v>
      </c>
      <c r="C507" s="1" t="n">
        <v>45744</v>
      </c>
      <c r="D507" t="inlineStr">
        <is>
          <t>HALLANDS LÄN</t>
        </is>
      </c>
      <c r="E507" t="inlineStr">
        <is>
          <t>KUNGSBACKA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45744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15055-2025</t>
        </is>
      </c>
      <c r="B509" s="1" t="n">
        <v>45743</v>
      </c>
      <c r="C509" s="1" t="n">
        <v>45744</v>
      </c>
      <c r="D509" t="inlineStr">
        <is>
          <t>HALLANDS LÄN</t>
        </is>
      </c>
      <c r="E509" t="inlineStr">
        <is>
          <t>KUNGSBACKA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15076-2025</t>
        </is>
      </c>
      <c r="B510" s="1" t="n">
        <v>45743</v>
      </c>
      <c r="C510" s="1" t="n">
        <v>45744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2025-03-28T18:29:42Z</dcterms:created>
  <dcterms:modified xmlns:dcterms="http://purl.org/dc/terms/" xmlns:xsi="http://www.w3.org/2001/XMLSchema-instance" xsi:type="dcterms:W3CDTF">2025-03-28T18:29:42Z</dcterms:modified>
</cp:coreProperties>
</file>