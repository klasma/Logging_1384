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45472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45472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45472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45472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45472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45472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63965-2021</t>
        </is>
      </c>
      <c r="B8" s="1" t="n">
        <v>44509</v>
      </c>
      <c r="C8" s="1" t="n">
        <v>45472</v>
      </c>
      <c r="D8" t="inlineStr">
        <is>
          <t>HALLANDS LÄN</t>
        </is>
      </c>
      <c r="E8" t="inlineStr">
        <is>
          <t>KUNGSBACKA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HYPERLINK("https://klasma.github.io/Logging_1384/artfynd/A 63965-2021 artfynd.xlsx", "A 63965-2021")</f>
        <v/>
      </c>
      <c r="T8">
        <f>HYPERLINK("https://klasma.github.io/Logging_1384/kartor/A 63965-2021 karta.png", "A 63965-2021")</f>
        <v/>
      </c>
      <c r="V8">
        <f>HYPERLINK("https://klasma.github.io/Logging_1384/klagomål/A 63965-2021 FSC-klagomål.docx", "A 63965-2021")</f>
        <v/>
      </c>
      <c r="W8">
        <f>HYPERLINK("https://klasma.github.io/Logging_1384/klagomålsmail/A 63965-2021 FSC-klagomål mail.docx", "A 63965-2021")</f>
        <v/>
      </c>
      <c r="X8">
        <f>HYPERLINK("https://klasma.github.io/Logging_1384/tillsyn/A 63965-2021 tillsynsbegäran.docx", "A 63965-2021")</f>
        <v/>
      </c>
      <c r="Y8">
        <f>HYPERLINK("https://klasma.github.io/Logging_1384/tillsynsmail/A 63965-2021 tillsynsbegäran mail.docx", "A 63965-2021")</f>
        <v/>
      </c>
    </row>
    <row r="9" ht="15" customHeight="1">
      <c r="A9" t="inlineStr">
        <is>
          <t>A 52318-2022</t>
        </is>
      </c>
      <c r="B9" s="1" t="n">
        <v>44873</v>
      </c>
      <c r="C9" s="1" t="n">
        <v>45472</v>
      </c>
      <c r="D9" t="inlineStr">
        <is>
          <t>HALLANDS LÄN</t>
        </is>
      </c>
      <c r="E9" t="inlineStr">
        <is>
          <t>KUNGSBACKA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HYPERLINK("https://klasma.github.io/Logging_1384/artfynd/A 52318-2022 artfynd.xlsx", "A 52318-2022")</f>
        <v/>
      </c>
      <c r="T9">
        <f>HYPERLINK("https://klasma.github.io/Logging_1384/kartor/A 52318-2022 karta.png", "A 52318-2022")</f>
        <v/>
      </c>
      <c r="V9">
        <f>HYPERLINK("https://klasma.github.io/Logging_1384/klagomål/A 52318-2022 FSC-klagomål.docx", "A 52318-2022")</f>
        <v/>
      </c>
      <c r="W9">
        <f>HYPERLINK("https://klasma.github.io/Logging_1384/klagomålsmail/A 52318-2022 FSC-klagomål mail.docx", "A 52318-2022")</f>
        <v/>
      </c>
      <c r="X9">
        <f>HYPERLINK("https://klasma.github.io/Logging_1384/tillsyn/A 52318-2022 tillsynsbegäran.docx", "A 52318-2022")</f>
        <v/>
      </c>
      <c r="Y9">
        <f>HYPERLINK("https://klasma.github.io/Logging_1384/tillsynsmail/A 52318-2022 tillsynsbegäran mail.docx", "A 52318-2022")</f>
        <v/>
      </c>
    </row>
    <row r="10" ht="15" customHeight="1">
      <c r="A10" t="inlineStr">
        <is>
          <t>A 9006-2023</t>
        </is>
      </c>
      <c r="B10" s="1" t="n">
        <v>44979</v>
      </c>
      <c r="C10" s="1" t="n">
        <v>45472</v>
      </c>
      <c r="D10" t="inlineStr">
        <is>
          <t>HALLANDS LÄN</t>
        </is>
      </c>
      <c r="E10" t="inlineStr">
        <is>
          <t>KUNGSBACKA</t>
        </is>
      </c>
      <c r="G10" t="n">
        <v>13.5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HYPERLINK("https://klasma.github.io/Logging_1384/artfynd/A 9006-2023 artfynd.xlsx", "A 9006-2023")</f>
        <v/>
      </c>
      <c r="T10">
        <f>HYPERLINK("https://klasma.github.io/Logging_1384/kartor/A 9006-2023 karta.png", "A 9006-2023")</f>
        <v/>
      </c>
      <c r="V10">
        <f>HYPERLINK("https://klasma.github.io/Logging_1384/klagomål/A 9006-2023 FSC-klagomål.docx", "A 9006-2023")</f>
        <v/>
      </c>
      <c r="W10">
        <f>HYPERLINK("https://klasma.github.io/Logging_1384/klagomålsmail/A 9006-2023 FSC-klagomål mail.docx", "A 9006-2023")</f>
        <v/>
      </c>
      <c r="X10">
        <f>HYPERLINK("https://klasma.github.io/Logging_1384/tillsyn/A 9006-2023 tillsynsbegäran.docx", "A 9006-2023")</f>
        <v/>
      </c>
      <c r="Y10">
        <f>HYPERLINK("https://klasma.github.io/Logging_1384/tillsynsmail/A 9006-2023 tillsynsbegäran mail.docx", "A 9006-2023")</f>
        <v/>
      </c>
    </row>
    <row r="11" ht="15" customHeight="1">
      <c r="A11" t="inlineStr">
        <is>
          <t>A 46459-2023</t>
        </is>
      </c>
      <c r="B11" s="1" t="n">
        <v>45197</v>
      </c>
      <c r="C11" s="1" t="n">
        <v>45472</v>
      </c>
      <c r="D11" t="inlineStr">
        <is>
          <t>HALLANDS LÄN</t>
        </is>
      </c>
      <c r="E11" t="inlineStr">
        <is>
          <t>KUNGSBACKA</t>
        </is>
      </c>
      <c r="F11" t="inlineStr">
        <is>
          <t>Övriga Aktiebolag</t>
        </is>
      </c>
      <c r="G11" t="n">
        <v>5.4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Drillsnäppa</t>
        </is>
      </c>
      <c r="S11">
        <f>HYPERLINK("https://klasma.github.io/Logging_1384/artfynd/A 46459-2023 artfynd.xlsx", "A 46459-2023")</f>
        <v/>
      </c>
      <c r="T11">
        <f>HYPERLINK("https://klasma.github.io/Logging_1384/kartor/A 46459-2023 karta.png", "A 46459-2023")</f>
        <v/>
      </c>
      <c r="V11">
        <f>HYPERLINK("https://klasma.github.io/Logging_1384/klagomål/A 46459-2023 FSC-klagomål.docx", "A 46459-2023")</f>
        <v/>
      </c>
      <c r="W11">
        <f>HYPERLINK("https://klasma.github.io/Logging_1384/klagomålsmail/A 46459-2023 FSC-klagomål mail.docx", "A 46459-2023")</f>
        <v/>
      </c>
      <c r="X11">
        <f>HYPERLINK("https://klasma.github.io/Logging_1384/tillsyn/A 46459-2023 tillsynsbegäran.docx", "A 46459-2023")</f>
        <v/>
      </c>
      <c r="Y11">
        <f>HYPERLINK("https://klasma.github.io/Logging_1384/tillsynsmail/A 46459-2023 tillsynsbegäran mail.docx", "A 46459-2023")</f>
        <v/>
      </c>
    </row>
    <row r="12" ht="15" customHeight="1">
      <c r="A12" t="inlineStr">
        <is>
          <t>A 2988-2024</t>
        </is>
      </c>
      <c r="B12" s="1" t="n">
        <v>45315</v>
      </c>
      <c r="C12" s="1" t="n">
        <v>45472</v>
      </c>
      <c r="D12" t="inlineStr">
        <is>
          <t>HALLANDS LÄN</t>
        </is>
      </c>
      <c r="E12" t="inlineStr">
        <is>
          <t>KUNGSBACKA</t>
        </is>
      </c>
      <c r="G12" t="n">
        <v>9.1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HYPERLINK("https://klasma.github.io/Logging_1384/artfynd/A 2988-2024 artfynd.xlsx", "A 2988-2024")</f>
        <v/>
      </c>
      <c r="T12">
        <f>HYPERLINK("https://klasma.github.io/Logging_1384/kartor/A 2988-2024 karta.png", "A 2988-2024")</f>
        <v/>
      </c>
      <c r="V12">
        <f>HYPERLINK("https://klasma.github.io/Logging_1384/klagomål/A 2988-2024 FSC-klagomål.docx", "A 2988-2024")</f>
        <v/>
      </c>
      <c r="W12">
        <f>HYPERLINK("https://klasma.github.io/Logging_1384/klagomålsmail/A 2988-2024 FSC-klagomål mail.docx", "A 2988-2024")</f>
        <v/>
      </c>
      <c r="X12">
        <f>HYPERLINK("https://klasma.github.io/Logging_1384/tillsyn/A 2988-2024 tillsynsbegäran.docx", "A 2988-2024")</f>
        <v/>
      </c>
      <c r="Y12">
        <f>HYPERLINK("https://klasma.github.io/Logging_1384/tillsynsmail/A 2988-2024 tillsynsbegäran mail.docx", "A 2988-2024")</f>
        <v/>
      </c>
    </row>
    <row r="13" ht="15" customHeight="1">
      <c r="A13" t="inlineStr">
        <is>
          <t>A 17886-2019</t>
        </is>
      </c>
      <c r="B13" s="1" t="n">
        <v>43557</v>
      </c>
      <c r="C13" s="1" t="n">
        <v>45472</v>
      </c>
      <c r="D13" t="inlineStr">
        <is>
          <t>HALLANDS LÄN</t>
        </is>
      </c>
      <c r="E13" t="inlineStr">
        <is>
          <t>KUNGSBACKA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19013-2019</t>
        </is>
      </c>
      <c r="B14" s="1" t="n">
        <v>43563</v>
      </c>
      <c r="C14" s="1" t="n">
        <v>45472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19331-2019</t>
        </is>
      </c>
      <c r="B15" s="1" t="n">
        <v>43565</v>
      </c>
      <c r="C15" s="1" t="n">
        <v>45472</v>
      </c>
      <c r="D15" t="inlineStr">
        <is>
          <t>HALLANDS LÄN</t>
        </is>
      </c>
      <c r="E15" t="inlineStr">
        <is>
          <t>KUNGSBACKA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21505-2019</t>
        </is>
      </c>
      <c r="B16" s="1" t="n">
        <v>43580</v>
      </c>
      <c r="C16" s="1" t="n">
        <v>45472</v>
      </c>
      <c r="D16" t="inlineStr">
        <is>
          <t>HALLANDS LÄN</t>
        </is>
      </c>
      <c r="E16" t="inlineStr">
        <is>
          <t>KUNGSBACKA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21996-2019</t>
        </is>
      </c>
      <c r="B17" s="1" t="n">
        <v>43584</v>
      </c>
      <c r="C17" s="1" t="n">
        <v>45472</v>
      </c>
      <c r="D17" t="inlineStr">
        <is>
          <t>HALLANDS LÄN</t>
        </is>
      </c>
      <c r="E17" t="inlineStr">
        <is>
          <t>KUNGSBACKA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22474-2019</t>
        </is>
      </c>
      <c r="B18" s="1" t="n">
        <v>43587</v>
      </c>
      <c r="C18" s="1" t="n">
        <v>45472</v>
      </c>
      <c r="D18" t="inlineStr">
        <is>
          <t>HALLANDS LÄN</t>
        </is>
      </c>
      <c r="E18" t="inlineStr">
        <is>
          <t>KUNGSBACKA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23857-2019</t>
        </is>
      </c>
      <c r="B19" s="1" t="n">
        <v>43595</v>
      </c>
      <c r="C19" s="1" t="n">
        <v>45472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25536-2019</t>
        </is>
      </c>
      <c r="B20" s="1" t="n">
        <v>43606</v>
      </c>
      <c r="C20" s="1" t="n">
        <v>45472</v>
      </c>
      <c r="D20" t="inlineStr">
        <is>
          <t>HALLANDS LÄN</t>
        </is>
      </c>
      <c r="E20" t="inlineStr">
        <is>
          <t>KUNGSBACKA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27467-2019</t>
        </is>
      </c>
      <c r="B21" s="1" t="n">
        <v>43619</v>
      </c>
      <c r="C21" s="1" t="n">
        <v>45472</v>
      </c>
      <c r="D21" t="inlineStr">
        <is>
          <t>HALLANDS LÄN</t>
        </is>
      </c>
      <c r="E21" t="inlineStr">
        <is>
          <t>KUNGSBACKA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28032-2019</t>
        </is>
      </c>
      <c r="B22" s="1" t="n">
        <v>43621</v>
      </c>
      <c r="C22" s="1" t="n">
        <v>45472</v>
      </c>
      <c r="D22" t="inlineStr">
        <is>
          <t>HALLANDS LÄN</t>
        </is>
      </c>
      <c r="E22" t="inlineStr">
        <is>
          <t>KUNGSBACKA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28459-2019</t>
        </is>
      </c>
      <c r="B23" s="1" t="n">
        <v>43626</v>
      </c>
      <c r="C23" s="1" t="n">
        <v>45472</v>
      </c>
      <c r="D23" t="inlineStr">
        <is>
          <t>HALLANDS LÄN</t>
        </is>
      </c>
      <c r="E23" t="inlineStr">
        <is>
          <t>KUNGSBACKA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31498-2019</t>
        </is>
      </c>
      <c r="B24" s="1" t="n">
        <v>43641</v>
      </c>
      <c r="C24" s="1" t="n">
        <v>45472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32059-2019</t>
        </is>
      </c>
      <c r="B25" s="1" t="n">
        <v>43643</v>
      </c>
      <c r="C25" s="1" t="n">
        <v>45472</v>
      </c>
      <c r="D25" t="inlineStr">
        <is>
          <t>HALLANDS LÄN</t>
        </is>
      </c>
      <c r="E25" t="inlineStr">
        <is>
          <t>KUNGSBACKA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32437-2019</t>
        </is>
      </c>
      <c r="B26" s="1" t="n">
        <v>43644</v>
      </c>
      <c r="C26" s="1" t="n">
        <v>45472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33205-2019</t>
        </is>
      </c>
      <c r="B27" s="1" t="n">
        <v>43649</v>
      </c>
      <c r="C27" s="1" t="n">
        <v>45472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35274-2019</t>
        </is>
      </c>
      <c r="B28" s="1" t="n">
        <v>43662</v>
      </c>
      <c r="C28" s="1" t="n">
        <v>45472</v>
      </c>
      <c r="D28" t="inlineStr">
        <is>
          <t>HALLANDS LÄN</t>
        </is>
      </c>
      <c r="E28" t="inlineStr">
        <is>
          <t>KUNGSBACKA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35263-2019</t>
        </is>
      </c>
      <c r="B29" s="1" t="n">
        <v>43662</v>
      </c>
      <c r="C29" s="1" t="n">
        <v>45472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35265-2019</t>
        </is>
      </c>
      <c r="B30" s="1" t="n">
        <v>43662</v>
      </c>
      <c r="C30" s="1" t="n">
        <v>45472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35446-2019</t>
        </is>
      </c>
      <c r="B31" s="1" t="n">
        <v>43663</v>
      </c>
      <c r="C31" s="1" t="n">
        <v>45472</v>
      </c>
      <c r="D31" t="inlineStr">
        <is>
          <t>HALLANDS LÄN</t>
        </is>
      </c>
      <c r="E31" t="inlineStr">
        <is>
          <t>KUNGSBACKA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42233-2019</t>
        </is>
      </c>
      <c r="B32" s="1" t="n">
        <v>43703</v>
      </c>
      <c r="C32" s="1" t="n">
        <v>45472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43453-2019</t>
        </is>
      </c>
      <c r="B33" s="1" t="n">
        <v>43704</v>
      </c>
      <c r="C33" s="1" t="n">
        <v>45472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43936-2019</t>
        </is>
      </c>
      <c r="B34" s="1" t="n">
        <v>43707</v>
      </c>
      <c r="C34" s="1" t="n">
        <v>45472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51495-2019</t>
        </is>
      </c>
      <c r="B35" s="1" t="n">
        <v>43740</v>
      </c>
      <c r="C35" s="1" t="n">
        <v>45472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52007-2019</t>
        </is>
      </c>
      <c r="B36" s="1" t="n">
        <v>43742</v>
      </c>
      <c r="C36" s="1" t="n">
        <v>45472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53288-2019</t>
        </is>
      </c>
      <c r="B37" s="1" t="n">
        <v>43748</v>
      </c>
      <c r="C37" s="1" t="n">
        <v>45472</v>
      </c>
      <c r="D37" t="inlineStr">
        <is>
          <t>HALLANDS LÄN</t>
        </is>
      </c>
      <c r="E37" t="inlineStr">
        <is>
          <t>KUNGSBACKA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54537-2019</t>
        </is>
      </c>
      <c r="B38" s="1" t="n">
        <v>43754</v>
      </c>
      <c r="C38" s="1" t="n">
        <v>45472</v>
      </c>
      <c r="D38" t="inlineStr">
        <is>
          <t>HALLANDS LÄN</t>
        </is>
      </c>
      <c r="E38" t="inlineStr">
        <is>
          <t>KUNGSBACKA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54535-2019</t>
        </is>
      </c>
      <c r="B39" s="1" t="n">
        <v>43754</v>
      </c>
      <c r="C39" s="1" t="n">
        <v>45472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54530-2019</t>
        </is>
      </c>
      <c r="B40" s="1" t="n">
        <v>43754</v>
      </c>
      <c r="C40" s="1" t="n">
        <v>45472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54533-2019</t>
        </is>
      </c>
      <c r="B41" s="1" t="n">
        <v>43754</v>
      </c>
      <c r="C41" s="1" t="n">
        <v>45472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6980-2020</t>
        </is>
      </c>
      <c r="B42" s="1" t="n">
        <v>43868</v>
      </c>
      <c r="C42" s="1" t="n">
        <v>45472</v>
      </c>
      <c r="D42" t="inlineStr">
        <is>
          <t>HALLANDS LÄN</t>
        </is>
      </c>
      <c r="E42" t="inlineStr">
        <is>
          <t>KUNGSBACKA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10195-2020</t>
        </is>
      </c>
      <c r="B43" s="1" t="n">
        <v>43885</v>
      </c>
      <c r="C43" s="1" t="n">
        <v>45472</v>
      </c>
      <c r="D43" t="inlineStr">
        <is>
          <t>HALLANDS LÄN</t>
        </is>
      </c>
      <c r="E43" t="inlineStr">
        <is>
          <t>KUNGSBACKA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10370-2020</t>
        </is>
      </c>
      <c r="B44" s="1" t="n">
        <v>43885</v>
      </c>
      <c r="C44" s="1" t="n">
        <v>45472</v>
      </c>
      <c r="D44" t="inlineStr">
        <is>
          <t>HALLANDS LÄN</t>
        </is>
      </c>
      <c r="E44" t="inlineStr">
        <is>
          <t>KUNGSBACKA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11459-2020</t>
        </is>
      </c>
      <c r="B45" s="1" t="n">
        <v>43893</v>
      </c>
      <c r="C45" s="1" t="n">
        <v>45472</v>
      </c>
      <c r="D45" t="inlineStr">
        <is>
          <t>HALLANDS LÄN</t>
        </is>
      </c>
      <c r="E45" t="inlineStr">
        <is>
          <t>KUNGSBACKA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13631-2020</t>
        </is>
      </c>
      <c r="B46" s="1" t="n">
        <v>43903</v>
      </c>
      <c r="C46" s="1" t="n">
        <v>45472</v>
      </c>
      <c r="D46" t="inlineStr">
        <is>
          <t>HALLANDS LÄN</t>
        </is>
      </c>
      <c r="E46" t="inlineStr">
        <is>
          <t>KUNGSBACKA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14299-2020</t>
        </is>
      </c>
      <c r="B47" s="1" t="n">
        <v>43907</v>
      </c>
      <c r="C47" s="1" t="n">
        <v>45472</v>
      </c>
      <c r="D47" t="inlineStr">
        <is>
          <t>HALLANDS LÄN</t>
        </is>
      </c>
      <c r="E47" t="inlineStr">
        <is>
          <t>KUNGSBACKA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14296-2020</t>
        </is>
      </c>
      <c r="B48" s="1" t="n">
        <v>43907</v>
      </c>
      <c r="C48" s="1" t="n">
        <v>45472</v>
      </c>
      <c r="D48" t="inlineStr">
        <is>
          <t>HALLANDS LÄN</t>
        </is>
      </c>
      <c r="E48" t="inlineStr">
        <is>
          <t>KUNGSBACKA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16250-2020</t>
        </is>
      </c>
      <c r="B49" s="1" t="n">
        <v>43917</v>
      </c>
      <c r="C49" s="1" t="n">
        <v>45472</v>
      </c>
      <c r="D49" t="inlineStr">
        <is>
          <t>HALLANDS LÄN</t>
        </is>
      </c>
      <c r="E49" t="inlineStr">
        <is>
          <t>KUNGSBACKA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16902-2020</t>
        </is>
      </c>
      <c r="B50" s="1" t="n">
        <v>43921</v>
      </c>
      <c r="C50" s="1" t="n">
        <v>45472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17258-2020</t>
        </is>
      </c>
      <c r="B51" s="1" t="n">
        <v>43922</v>
      </c>
      <c r="C51" s="1" t="n">
        <v>45472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18328-2020</t>
        </is>
      </c>
      <c r="B52" s="1" t="n">
        <v>43928</v>
      </c>
      <c r="C52" s="1" t="n">
        <v>45472</v>
      </c>
      <c r="D52" t="inlineStr">
        <is>
          <t>HALLANDS LÄN</t>
        </is>
      </c>
      <c r="E52" t="inlineStr">
        <is>
          <t>KUNGSBACKA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18321-2020</t>
        </is>
      </c>
      <c r="B53" s="1" t="n">
        <v>43928</v>
      </c>
      <c r="C53" s="1" t="n">
        <v>45472</v>
      </c>
      <c r="D53" t="inlineStr">
        <is>
          <t>HALLANDS LÄN</t>
        </is>
      </c>
      <c r="E53" t="inlineStr">
        <is>
          <t>KUNGSBACKA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21678-2020</t>
        </is>
      </c>
      <c r="B54" s="1" t="n">
        <v>43957</v>
      </c>
      <c r="C54" s="1" t="n">
        <v>45472</v>
      </c>
      <c r="D54" t="inlineStr">
        <is>
          <t>HALLANDS LÄN</t>
        </is>
      </c>
      <c r="E54" t="inlineStr">
        <is>
          <t>KUNGSBACKA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22014-2020</t>
        </is>
      </c>
      <c r="B55" s="1" t="n">
        <v>43959</v>
      </c>
      <c r="C55" s="1" t="n">
        <v>45472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23226-2020</t>
        </is>
      </c>
      <c r="B56" s="1" t="n">
        <v>43966</v>
      </c>
      <c r="C56" s="1" t="n">
        <v>45472</v>
      </c>
      <c r="D56" t="inlineStr">
        <is>
          <t>HALLANDS LÄN</t>
        </is>
      </c>
      <c r="E56" t="inlineStr">
        <is>
          <t>KUNGSBACKA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24631-2020</t>
        </is>
      </c>
      <c r="B57" s="1" t="n">
        <v>43977</v>
      </c>
      <c r="C57" s="1" t="n">
        <v>45472</v>
      </c>
      <c r="D57" t="inlineStr">
        <is>
          <t>HALLANDS LÄN</t>
        </is>
      </c>
      <c r="E57" t="inlineStr">
        <is>
          <t>KUNGSBACKA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24634-2020</t>
        </is>
      </c>
      <c r="B58" s="1" t="n">
        <v>43977</v>
      </c>
      <c r="C58" s="1" t="n">
        <v>45472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25960-2020</t>
        </is>
      </c>
      <c r="B59" s="1" t="n">
        <v>43985</v>
      </c>
      <c r="C59" s="1" t="n">
        <v>45472</v>
      </c>
      <c r="D59" t="inlineStr">
        <is>
          <t>HALLANDS LÄN</t>
        </is>
      </c>
      <c r="E59" t="inlineStr">
        <is>
          <t>KUNGSBACKA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28111-2020</t>
        </is>
      </c>
      <c r="B60" s="1" t="n">
        <v>43994</v>
      </c>
      <c r="C60" s="1" t="n">
        <v>45472</v>
      </c>
      <c r="D60" t="inlineStr">
        <is>
          <t>HALLANDS LÄN</t>
        </is>
      </c>
      <c r="E60" t="inlineStr">
        <is>
          <t>KUNGSBACKA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29629-2020</t>
        </is>
      </c>
      <c r="B61" s="1" t="n">
        <v>44005</v>
      </c>
      <c r="C61" s="1" t="n">
        <v>45472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31104-2020</t>
        </is>
      </c>
      <c r="B62" s="1" t="n">
        <v>44012</v>
      </c>
      <c r="C62" s="1" t="n">
        <v>45472</v>
      </c>
      <c r="D62" t="inlineStr">
        <is>
          <t>HALLANDS LÄN</t>
        </is>
      </c>
      <c r="E62" t="inlineStr">
        <is>
          <t>KUNGSBACKA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33528-2020</t>
        </is>
      </c>
      <c r="B63" s="1" t="n">
        <v>44025</v>
      </c>
      <c r="C63" s="1" t="n">
        <v>45472</v>
      </c>
      <c r="D63" t="inlineStr">
        <is>
          <t>HALLANDS LÄN</t>
        </is>
      </c>
      <c r="E63" t="inlineStr">
        <is>
          <t>KUNGSBACKA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34936-2020</t>
        </is>
      </c>
      <c r="B64" s="1" t="n">
        <v>44037</v>
      </c>
      <c r="C64" s="1" t="n">
        <v>45472</v>
      </c>
      <c r="D64" t="inlineStr">
        <is>
          <t>HALLANDS LÄN</t>
        </is>
      </c>
      <c r="E64" t="inlineStr">
        <is>
          <t>KUNGSBACKA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34964-2020</t>
        </is>
      </c>
      <c r="B65" s="1" t="n">
        <v>44039</v>
      </c>
      <c r="C65" s="1" t="n">
        <v>45472</v>
      </c>
      <c r="D65" t="inlineStr">
        <is>
          <t>HALLANDS LÄN</t>
        </is>
      </c>
      <c r="E65" t="inlineStr">
        <is>
          <t>KUNGSBACKA</t>
        </is>
      </c>
      <c r="F65" t="inlineStr">
        <is>
          <t>Sveaskog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35275-2020</t>
        </is>
      </c>
      <c r="B66" s="1" t="n">
        <v>44041</v>
      </c>
      <c r="C66" s="1" t="n">
        <v>45472</v>
      </c>
      <c r="D66" t="inlineStr">
        <is>
          <t>HALLANDS LÄN</t>
        </is>
      </c>
      <c r="E66" t="inlineStr">
        <is>
          <t>KUNGSBACKA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35667-2020</t>
        </is>
      </c>
      <c r="B67" s="1" t="n">
        <v>44046</v>
      </c>
      <c r="C67" s="1" t="n">
        <v>45472</v>
      </c>
      <c r="D67" t="inlineStr">
        <is>
          <t>HALLANDS LÄN</t>
        </is>
      </c>
      <c r="E67" t="inlineStr">
        <is>
          <t>KUNGSBACKA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51155-2020</t>
        </is>
      </c>
      <c r="B68" s="1" t="n">
        <v>44112</v>
      </c>
      <c r="C68" s="1" t="n">
        <v>45472</v>
      </c>
      <c r="D68" t="inlineStr">
        <is>
          <t>HALLANDS LÄN</t>
        </is>
      </c>
      <c r="E68" t="inlineStr">
        <is>
          <t>KUNGSBACKA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51198-2020</t>
        </is>
      </c>
      <c r="B69" s="1" t="n">
        <v>44112</v>
      </c>
      <c r="C69" s="1" t="n">
        <v>45472</v>
      </c>
      <c r="D69" t="inlineStr">
        <is>
          <t>HALLANDS LÄN</t>
        </is>
      </c>
      <c r="E69" t="inlineStr">
        <is>
          <t>KUNGSBACKA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52369-2020</t>
        </is>
      </c>
      <c r="B70" s="1" t="n">
        <v>44112</v>
      </c>
      <c r="C70" s="1" t="n">
        <v>45472</v>
      </c>
      <c r="D70" t="inlineStr">
        <is>
          <t>HALLANDS LÄN</t>
        </is>
      </c>
      <c r="E70" t="inlineStr">
        <is>
          <t>KUNGSBACKA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51417-2020</t>
        </is>
      </c>
      <c r="B71" s="1" t="n">
        <v>44113</v>
      </c>
      <c r="C71" s="1" t="n">
        <v>45472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52303-2020</t>
        </is>
      </c>
      <c r="B72" s="1" t="n">
        <v>44117</v>
      </c>
      <c r="C72" s="1" t="n">
        <v>45472</v>
      </c>
      <c r="D72" t="inlineStr">
        <is>
          <t>HALLANDS LÄN</t>
        </is>
      </c>
      <c r="E72" t="inlineStr">
        <is>
          <t>KUNGSBACKA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55049-2020</t>
        </is>
      </c>
      <c r="B73" s="1" t="n">
        <v>44130</v>
      </c>
      <c r="C73" s="1" t="n">
        <v>45472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56629-2020</t>
        </is>
      </c>
      <c r="B74" s="1" t="n">
        <v>44137</v>
      </c>
      <c r="C74" s="1" t="n">
        <v>45472</v>
      </c>
      <c r="D74" t="inlineStr">
        <is>
          <t>HALLANDS LÄN</t>
        </is>
      </c>
      <c r="E74" t="inlineStr">
        <is>
          <t>KUNGSBACKA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56959-2020</t>
        </is>
      </c>
      <c r="B75" s="1" t="n">
        <v>44138</v>
      </c>
      <c r="C75" s="1" t="n">
        <v>45472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60790-2020</t>
        </is>
      </c>
      <c r="B76" s="1" t="n">
        <v>44154</v>
      </c>
      <c r="C76" s="1" t="n">
        <v>45472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62753-2020</t>
        </is>
      </c>
      <c r="B77" s="1" t="n">
        <v>44161</v>
      </c>
      <c r="C77" s="1" t="n">
        <v>45472</v>
      </c>
      <c r="D77" t="inlineStr">
        <is>
          <t>HALLANDS LÄN</t>
        </is>
      </c>
      <c r="E77" t="inlineStr">
        <is>
          <t>KUNGSBACKA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62944-2020</t>
        </is>
      </c>
      <c r="B78" s="1" t="n">
        <v>44162</v>
      </c>
      <c r="C78" s="1" t="n">
        <v>45472</v>
      </c>
      <c r="D78" t="inlineStr">
        <is>
          <t>HALLANDS LÄN</t>
        </is>
      </c>
      <c r="E78" t="inlineStr">
        <is>
          <t>KUNGSBACKA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66004-2020</t>
        </is>
      </c>
      <c r="B79" s="1" t="n">
        <v>44175</v>
      </c>
      <c r="C79" s="1" t="n">
        <v>45472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68618-2020</t>
        </is>
      </c>
      <c r="B80" s="1" t="n">
        <v>44186</v>
      </c>
      <c r="C80" s="1" t="n">
        <v>45472</v>
      </c>
      <c r="D80" t="inlineStr">
        <is>
          <t>HALLANDS LÄN</t>
        </is>
      </c>
      <c r="E80" t="inlineStr">
        <is>
          <t>KUNGSBACKA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68617-2020</t>
        </is>
      </c>
      <c r="B81" s="1" t="n">
        <v>44186</v>
      </c>
      <c r="C81" s="1" t="n">
        <v>45472</v>
      </c>
      <c r="D81" t="inlineStr">
        <is>
          <t>HALLANDS LÄN</t>
        </is>
      </c>
      <c r="E81" t="inlineStr">
        <is>
          <t>KUNGSBACKA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68588-2020</t>
        </is>
      </c>
      <c r="B82" s="1" t="n">
        <v>44186</v>
      </c>
      <c r="C82" s="1" t="n">
        <v>45472</v>
      </c>
      <c r="D82" t="inlineStr">
        <is>
          <t>HALLANDS LÄN</t>
        </is>
      </c>
      <c r="E82" t="inlineStr">
        <is>
          <t>KUNGSBACKA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149-2021</t>
        </is>
      </c>
      <c r="B83" s="1" t="n">
        <v>44200</v>
      </c>
      <c r="C83" s="1" t="n">
        <v>45472</v>
      </c>
      <c r="D83" t="inlineStr">
        <is>
          <t>HALLANDS LÄN</t>
        </is>
      </c>
      <c r="E83" t="inlineStr">
        <is>
          <t>KUNGSBACKA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3355-2021</t>
        </is>
      </c>
      <c r="B84" s="1" t="n">
        <v>44217</v>
      </c>
      <c r="C84" s="1" t="n">
        <v>45472</v>
      </c>
      <c r="D84" t="inlineStr">
        <is>
          <t>HALLANDS LÄN</t>
        </is>
      </c>
      <c r="E84" t="inlineStr">
        <is>
          <t>KUNGSBACKA</t>
        </is>
      </c>
      <c r="G84" t="n">
        <v>17.6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4554-2021</t>
        </is>
      </c>
      <c r="B85" s="1" t="n">
        <v>44224</v>
      </c>
      <c r="C85" s="1" t="n">
        <v>45472</v>
      </c>
      <c r="D85" t="inlineStr">
        <is>
          <t>HALLANDS LÄN</t>
        </is>
      </c>
      <c r="E85" t="inlineStr">
        <is>
          <t>KUNGSBACKA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4831-2021</t>
        </is>
      </c>
      <c r="B86" s="1" t="n">
        <v>44225</v>
      </c>
      <c r="C86" s="1" t="n">
        <v>45472</v>
      </c>
      <c r="D86" t="inlineStr">
        <is>
          <t>HALLANDS LÄN</t>
        </is>
      </c>
      <c r="E86" t="inlineStr">
        <is>
          <t>KUNGSBACKA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45472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45472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45472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45472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45472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45472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45472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45472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45472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45472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45472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45472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45472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45472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45472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45472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45472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45472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45472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45472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45472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45472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45472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45472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45472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45472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45472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45472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45472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45472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45472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45472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45472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45472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45472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45472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45472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45472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45472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45472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45472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45472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45472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45472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45472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45472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45472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45472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45472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45472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45472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45472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45472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45472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45472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45472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45472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45472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45472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45472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45472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45472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45472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45472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45472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45472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45472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45472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45472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45472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45472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45472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45472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45472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45472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45472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45472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45472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45472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45472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45472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45472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45472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45472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45472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45472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45472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45472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45472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45472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45472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45472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45472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45472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45472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45472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45472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45472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45472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45472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45472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45472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45472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45472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45472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45472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45472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45472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45472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45472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45472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45472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45472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45472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45472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45472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45472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45472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45472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45472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45472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45472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45472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45472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45472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45472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45472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45472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45472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45472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45472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45472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45472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45472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45472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45472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45472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45472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45472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45472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45472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45472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45472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45472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45472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45472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45472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45472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45472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45472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45472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45472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45472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45472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45472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45472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45472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45472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45472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45472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45472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45472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45472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45472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45472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45472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45472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45472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45472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45472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45472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45472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45472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45472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45472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45472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45472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45472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45472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45472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45472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45472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45472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45472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45472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45472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45472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45472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45472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45472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45472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45472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45472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45472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45472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45472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45472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45472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45472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45472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45472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45472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45472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45472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45472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45472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45472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45472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45472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45472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45472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45472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45472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45472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45472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45472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45472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45472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45472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45472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45472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45472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45472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45472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45472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45472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45472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45472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45472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45472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45472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45472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45472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45472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45472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45472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45472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45472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45472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45472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45472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45472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45472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45472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45472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45472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45472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45472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45472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45472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45472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45472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45472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45472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45472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45472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45472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45472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45472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45472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45472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45472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45472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45472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45472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45472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45472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45472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45472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45472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45472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24924-2024</t>
        </is>
      </c>
      <c r="B358" s="1" t="n">
        <v>45461</v>
      </c>
      <c r="C358" s="1" t="n">
        <v>45472</v>
      </c>
      <c r="D358" t="inlineStr">
        <is>
          <t>HALLANDS LÄN</t>
        </is>
      </c>
      <c r="E358" t="inlineStr">
        <is>
          <t>KUNGSBACKA</t>
        </is>
      </c>
      <c r="F358" t="inlineStr">
        <is>
          <t>Kommuner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45472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45472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45472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45472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45472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26772-2024</t>
        </is>
      </c>
      <c r="B364" s="1" t="n">
        <v>45470</v>
      </c>
      <c r="C364" s="1" t="n">
        <v>45472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2024-06-29T13:53:58Z</dcterms:created>
  <dcterms:modified xmlns:dcterms="http://purl.org/dc/terms/" xmlns:xsi="http://www.w3.org/2001/XMLSchema-instance" xsi:type="dcterms:W3CDTF">2024-06-29T13:53:59Z</dcterms:modified>
</cp:coreProperties>
</file>