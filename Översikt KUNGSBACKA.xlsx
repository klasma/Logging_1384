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46278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46278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46278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46278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46278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46278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46278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46278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46278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7718-2025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46278</v>
      </c>
      <c r="F17" t="inlineStr">
        <is>
          <t>HALLANDS LÄN</t>
        </is>
      </c>
      <c r="G17" t="inlineStr">
        <is>
          <t>KUNGSBACKA</t>
        </is>
      </c>
      <c r="I17" t="n">
        <v>0.7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Gulsparv</t>
        </is>
      </c>
      <c r="W17">
        <f>HYPERLINK("https://klasma.github.io/Logging_1384/artfynd/A 7718-2025 artfynd.xlsx", "A 7718-2025")</f>
        <v/>
      </c>
      <c r="X17">
        <f>HYPERLINK("https://klasma.github.io/Logging_1384/kartor/A 7718-2025 karta.png", "A 7718-2025")</f>
        <v/>
      </c>
      <c r="Y17">
        <f>HYPERLINK("https://klasma.github.io/Logging_1384/kartor_geotiff/A 7718-2025 georefererad karta.tif", "A 7718-2025")</f>
        <v/>
      </c>
      <c r="AA17">
        <f>HYPERLINK("https://klasma.github.io/Logging_1384/klagomål/A 7718-2025 FSC-klagomål.docx", "A 7718-2025")</f>
        <v/>
      </c>
      <c r="AB17">
        <f>HYPERLINK("https://klasma.github.io/Logging_1384/klagomålsmail/A 7718-2025 FSC-klagomål mail.docx", "A 7718-2025")</f>
        <v/>
      </c>
      <c r="AC17">
        <f>HYPERLINK("https://klasma.github.io/Logging_1384/tillsyn/A 7718-2025 tillsynsbegäran.docx", "A 7718-2025")</f>
        <v/>
      </c>
      <c r="AD17">
        <f>HYPERLINK("https://klasma.github.io/Logging_1384/tillsynsmail/A 7718-2025 tillsynsbegäran mail.docx", "A 7718-2025")</f>
        <v/>
      </c>
      <c r="AE17">
        <f>HYPERLINK("https://klasma.github.io/Logging_1384/fåglar/A 7718-2025 prioriterade fågelarter.docx", "A 7718-2025")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46278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46278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46278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46278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46278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46278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46278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46278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9548-2024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45359</v>
      </c>
      <c r="E26" s="1" t="n">
        <v>46278</v>
      </c>
      <c r="F26" t="inlineStr">
        <is>
          <t>HALLANDS LÄN</t>
        </is>
      </c>
      <c r="G26" t="inlineStr">
        <is>
          <t>KUNGSBACKA</t>
        </is>
      </c>
      <c r="I26" t="n">
        <v>0.3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aspticka</t>
        </is>
      </c>
      <c r="W26">
        <f>HYPERLINK("https://klasma.github.io/Logging_1384/artfynd/A 9548-2024 artfynd.xlsx", "A 9548-2024")</f>
        <v/>
      </c>
      <c r="X26">
        <f>HYPERLINK("https://klasma.github.io/Logging_1384/kartor/A 9548-2024 karta.png", "A 9548-2024")</f>
        <v/>
      </c>
      <c r="Y26">
        <f>HYPERLINK("https://klasma.github.io/Logging_1384/kartor_geotiff/A 9548-2024 georefererad karta.tif", "A 9548-2024")</f>
        <v/>
      </c>
      <c r="AA26">
        <f>HYPERLINK("https://klasma.github.io/Logging_1384/klagomål/A 9548-2024 FSC-klagomål.docx", "A 9548-2024")</f>
        <v/>
      </c>
      <c r="AB26">
        <f>HYPERLINK("https://klasma.github.io/Logging_1384/klagomålsmail/A 9548-2024 FSC-klagomål mail.docx", "A 9548-2024")</f>
        <v/>
      </c>
      <c r="AC26">
        <f>HYPERLINK("https://klasma.github.io/Logging_1384/tillsyn/A 9548-2024 tillsynsbegäran.docx", "A 9548-2024")</f>
        <v/>
      </c>
      <c r="AD26">
        <f>HYPERLINK("https://klasma.github.io/Logging_1384/tillsynsmail/A 9548-2024 tillsynsbegäran mail.docx", "A 9548-2024")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46278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11154-2022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46278</v>
      </c>
      <c r="F28" t="inlineStr">
        <is>
          <t>HALLANDS LÄN</t>
        </is>
      </c>
      <c r="G28" t="inlineStr">
        <is>
          <t>KUNGSBACKA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HYPERLINK("https://klasma.github.io/Logging_1384/artfynd/A 11154-2022 artfynd.xlsx", "A 11154-2022")</f>
        <v/>
      </c>
      <c r="X28">
        <f>HYPERLINK("https://klasma.github.io/Logging_1384/kartor/A 11154-2022 karta.png", "A 11154-2022")</f>
        <v/>
      </c>
      <c r="Y28">
        <f>HYPERLINK("https://klasma.github.io/Logging_1384/kartor_geotiff/A 11154-2022 georefererad karta.tif", "A 11154-2022")</f>
        <v/>
      </c>
      <c r="AA28">
        <f>HYPERLINK("https://klasma.github.io/Logging_1384/klagomål/A 11154-2022 FSC-klagomål.docx", "A 11154-2022")</f>
        <v/>
      </c>
      <c r="AB28">
        <f>HYPERLINK("https://klasma.github.io/Logging_1384/klagomålsmail/A 11154-2022 FSC-klagomål mail.docx", "A 11154-2022")</f>
        <v/>
      </c>
      <c r="AC28">
        <f>HYPERLINK("https://klasma.github.io/Logging_1384/tillsyn/A 11154-2022 tillsynsbegäran.docx", "A 11154-2022")</f>
        <v/>
      </c>
      <c r="AD28">
        <f>HYPERLINK("https://klasma.github.io/Logging_1384/tillsynsmail/A 11154-2022 tillsynsbegäran mail.docx", "A 11154-2022")</f>
        <v/>
      </c>
      <c r="AE28">
        <f>HYPERLINK("https://klasma.github.io/Logging_1384/fåglar/A 11154-2022 prioriterade fågelarter.docx", "A 11154-2022")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46278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16076-2025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45749</v>
      </c>
      <c r="E30" s="1" t="n">
        <v>46278</v>
      </c>
      <c r="F30" t="inlineStr">
        <is>
          <t>HALLANDS LÄN</t>
        </is>
      </c>
      <c r="G30" t="inlineStr">
        <is>
          <t>KUNGSBACKA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HYPERLINK("https://klasma.github.io/Logging_1384/artfynd/A 16076-2025 artfynd.xlsx", "A 16076-2025")</f>
        <v/>
      </c>
      <c r="X30">
        <f>HYPERLINK("https://klasma.github.io/Logging_1384/kartor/A 16076-2025 karta.png", "A 16076-2025")</f>
        <v/>
      </c>
      <c r="Y30">
        <f>HYPERLINK("https://klasma.github.io/Logging_1384/kartor_geotiff/A 16076-2025 georefererad karta.tif", "A 16076-2025")</f>
        <v/>
      </c>
      <c r="AA30">
        <f>HYPERLINK("https://klasma.github.io/Logging_1384/klagomål/A 16076-2025 FSC-klagomål.docx", "A 16076-2025")</f>
        <v/>
      </c>
      <c r="AB30">
        <f>HYPERLINK("https://klasma.github.io/Logging_1384/klagomålsmail/A 16076-2025 FSC-klagomål mail.docx", "A 16076-2025")</f>
        <v/>
      </c>
      <c r="AC30">
        <f>HYPERLINK("https://klasma.github.io/Logging_1384/tillsyn/A 16076-2025 tillsynsbegäran.docx", "A 16076-2025")</f>
        <v/>
      </c>
      <c r="AD30">
        <f>HYPERLINK("https://klasma.github.io/Logging_1384/tillsynsmail/A 16076-2025 tillsynsbegäran mail.docx", "A 16076-2025")</f>
        <v/>
      </c>
      <c r="AE30">
        <f>HYPERLINK("https://klasma.github.io/Logging_1384/fåglar/A 16076-2025 prioriterade fågelarter.docx", "A 16076-2025")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46278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46278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46278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46278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46278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46278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46278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46278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46278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46278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46278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46278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46278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46278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46278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46278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46278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46278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46278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46278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46278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46278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46278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46278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46278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46278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46278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46278</v>
      </c>
      <c r="F62" t="inlineStr">
        <is>
          <t>HALLANDS LÄN</t>
        </is>
      </c>
      <c r="G62" t="inlineStr">
        <is>
          <t>KUNGSBACKA</t>
        </is>
      </c>
      <c r="I62" t="n">
        <v>18.8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46278</v>
      </c>
      <c r="F63" t="inlineStr">
        <is>
          <t>HALLANDS LÄN</t>
        </is>
      </c>
      <c r="G63" t="inlineStr">
        <is>
          <t>KUNGSBACKA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46278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46278</v>
      </c>
      <c r="F65" t="inlineStr">
        <is>
          <t>HALLANDS LÄN</t>
        </is>
      </c>
      <c r="G65" t="inlineStr">
        <is>
          <t>KUNGSBACKA</t>
        </is>
      </c>
      <c r="H65" t="inlineStr">
        <is>
          <t>Kyrkan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46278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44925</v>
      </c>
      <c r="E67" s="1" t="n">
        <v>46278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46278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46278</v>
      </c>
      <c r="F69" t="inlineStr">
        <is>
          <t>HALLANDS LÄN</t>
        </is>
      </c>
      <c r="G69" t="inlineStr">
        <is>
          <t>KUNGSBACKA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46278</v>
      </c>
      <c r="F70" t="inlineStr">
        <is>
          <t>HALLANDS LÄN</t>
        </is>
      </c>
      <c r="G70" t="inlineStr">
        <is>
          <t>KUNGSBACKA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46278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46066</v>
      </c>
      <c r="E72" s="1" t="n">
        <v>46278</v>
      </c>
      <c r="F72" t="inlineStr">
        <is>
          <t>HALLANDS LÄN</t>
        </is>
      </c>
      <c r="G72" t="inlineStr">
        <is>
          <t>KUNGSBACKA</t>
        </is>
      </c>
      <c r="H72" t="inlineStr">
        <is>
          <t>Kommuner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46278</v>
      </c>
      <c r="F73" t="inlineStr">
        <is>
          <t>HALLANDS LÄN</t>
        </is>
      </c>
      <c r="G73" t="inlineStr">
        <is>
          <t>KUNGSBACKA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46278</v>
      </c>
      <c r="F74" t="inlineStr">
        <is>
          <t>HALLANDS LÄN</t>
        </is>
      </c>
      <c r="G74" t="inlineStr">
        <is>
          <t>KUNGSBACKA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45246</v>
      </c>
      <c r="E75" s="1" t="n">
        <v>46278</v>
      </c>
      <c r="F75" t="inlineStr">
        <is>
          <t>HALLANDS LÄN</t>
        </is>
      </c>
      <c r="G75" t="inlineStr">
        <is>
          <t>KUNGSBACKA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39066-2025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45888</v>
      </c>
      <c r="E76" s="1" t="n">
        <v>46278</v>
      </c>
      <c r="F76" t="inlineStr">
        <is>
          <t>HALLANDS LÄN</t>
        </is>
      </c>
      <c r="G76" t="inlineStr">
        <is>
          <t>KUNGSBACKA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46278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46278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46278</v>
      </c>
      <c r="F79" t="inlineStr">
        <is>
          <t>HALLANDS LÄN</t>
        </is>
      </c>
      <c r="G79" t="inlineStr">
        <is>
          <t>KUNGSBACKA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46278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46278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46278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45846</v>
      </c>
      <c r="E83" s="1" t="n">
        <v>46278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45848</v>
      </c>
      <c r="E84" s="1" t="n">
        <v>46278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45849</v>
      </c>
      <c r="E85" s="1" t="n">
        <v>46278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46278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46278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46278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46278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46278</v>
      </c>
      <c r="F90" t="inlineStr">
        <is>
          <t>HALLANDS LÄN</t>
        </is>
      </c>
      <c r="G90" t="inlineStr">
        <is>
          <t>KUNGSBACKA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46278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46278</v>
      </c>
      <c r="F92" t="inlineStr">
        <is>
          <t>HALLANDS LÄN</t>
        </is>
      </c>
      <c r="G92" t="inlineStr">
        <is>
          <t>KUNGSBACKA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46278</v>
      </c>
      <c r="F93" t="inlineStr">
        <is>
          <t>HALLANDS LÄN</t>
        </is>
      </c>
      <c r="G93" t="inlineStr">
        <is>
          <t>KUNGSBACKA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46278</v>
      </c>
      <c r="F94" t="inlineStr">
        <is>
          <t>HALLANDS LÄN</t>
        </is>
      </c>
      <c r="G94" t="inlineStr">
        <is>
          <t>KUNGSBACKA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45706</v>
      </c>
      <c r="E95" s="1" t="n">
        <v>46278</v>
      </c>
      <c r="F95" t="inlineStr">
        <is>
          <t>HALLANDS LÄN</t>
        </is>
      </c>
      <c r="G95" t="inlineStr">
        <is>
          <t>KUNGSBACKA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45847</v>
      </c>
      <c r="E96" s="1" t="n">
        <v>46278</v>
      </c>
      <c r="F96" t="inlineStr">
        <is>
          <t>HALLANDS LÄN</t>
        </is>
      </c>
      <c r="G96" t="inlineStr">
        <is>
          <t>KUNGSBACKA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46278</v>
      </c>
      <c r="F97" t="inlineStr">
        <is>
          <t>HALLANDS LÄN</t>
        </is>
      </c>
      <c r="G97" t="inlineStr">
        <is>
          <t>KUNGSBACKA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46278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46278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46278</v>
      </c>
      <c r="F100" t="inlineStr">
        <is>
          <t>HALLANDS LÄN</t>
        </is>
      </c>
      <c r="G100" t="inlineStr">
        <is>
          <t>KUNGSBACKA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46278</v>
      </c>
      <c r="F101" t="inlineStr">
        <is>
          <t>HALLANDS LÄN</t>
        </is>
      </c>
      <c r="G101" t="inlineStr">
        <is>
          <t>KUNGSBACKA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46278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46278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46278</v>
      </c>
      <c r="F104" t="inlineStr">
        <is>
          <t>HALLANDS LÄN</t>
        </is>
      </c>
      <c r="G104" t="inlineStr">
        <is>
          <t>KUNGSBACKA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46278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46278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45153</v>
      </c>
      <c r="E107" s="1" t="n">
        <v>46278</v>
      </c>
      <c r="F107" t="inlineStr">
        <is>
          <t>HALLANDS LÄN</t>
        </is>
      </c>
      <c r="G107" t="inlineStr">
        <is>
          <t>KUNGSBACKA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46278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46278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46278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46278</v>
      </c>
      <c r="F111" t="inlineStr">
        <is>
          <t>HALLANDS LÄN</t>
        </is>
      </c>
      <c r="G111" t="inlineStr">
        <is>
          <t>KUNGSBACKA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63104-2023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46278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46278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46278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46278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46278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46278</v>
      </c>
      <c r="F117" t="inlineStr">
        <is>
          <t>HALLANDS LÄN</t>
        </is>
      </c>
      <c r="G117" t="inlineStr">
        <is>
          <t>KUNGSBACKA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46278</v>
      </c>
      <c r="F118" t="inlineStr">
        <is>
          <t>HALLANDS LÄN</t>
        </is>
      </c>
      <c r="G118" t="inlineStr">
        <is>
          <t>KUNGSBACKA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45062</v>
      </c>
      <c r="E119" s="1" t="n">
        <v>46278</v>
      </c>
      <c r="F119" t="inlineStr">
        <is>
          <t>HALLANDS LÄN</t>
        </is>
      </c>
      <c r="G119" t="inlineStr">
        <is>
          <t>KUNGSBACKA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46278</v>
      </c>
      <c r="F120" t="inlineStr">
        <is>
          <t>HALLANDS LÄN</t>
        </is>
      </c>
      <c r="G120" t="inlineStr">
        <is>
          <t>KUNGSBACKA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46278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46278</v>
      </c>
      <c r="F122" t="inlineStr">
        <is>
          <t>HALLANDS LÄN</t>
        </is>
      </c>
      <c r="G122" t="inlineStr">
        <is>
          <t>KUNGSBACKA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46278</v>
      </c>
      <c r="F123" t="inlineStr">
        <is>
          <t>HALLANDS LÄN</t>
        </is>
      </c>
      <c r="G123" t="inlineStr">
        <is>
          <t>KUNGSBACKA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46278</v>
      </c>
      <c r="F124" t="inlineStr">
        <is>
          <t>HALLANDS LÄN</t>
        </is>
      </c>
      <c r="G124" t="inlineStr">
        <is>
          <t>KUNGSBACKA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46278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46077</v>
      </c>
      <c r="E126" s="1" t="n">
        <v>46278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46278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46278</v>
      </c>
      <c r="F128" t="inlineStr">
        <is>
          <t>HALLANDS LÄN</t>
        </is>
      </c>
      <c r="G128" t="inlineStr">
        <is>
          <t>KUNGSBACKA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46278</v>
      </c>
      <c r="F129" t="inlineStr">
        <is>
          <t>HALLANDS LÄN</t>
        </is>
      </c>
      <c r="G129" t="inlineStr">
        <is>
          <t>KUNGSBACKA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46278</v>
      </c>
      <c r="F130" t="inlineStr">
        <is>
          <t>HALLANDS LÄN</t>
        </is>
      </c>
      <c r="G130" t="inlineStr">
        <is>
          <t>KUNGSBACKA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46278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46278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46278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46078</v>
      </c>
      <c r="E134" s="1" t="n">
        <v>46278</v>
      </c>
      <c r="F134" t="inlineStr">
        <is>
          <t>HALLANDS LÄN</t>
        </is>
      </c>
      <c r="G134" t="inlineStr">
        <is>
          <t>KUNGSBACKA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46278</v>
      </c>
      <c r="F135" t="inlineStr">
        <is>
          <t>HALLANDS LÄN</t>
        </is>
      </c>
      <c r="G135" t="inlineStr">
        <is>
          <t>KUNGSBACKA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46278</v>
      </c>
      <c r="F136" t="inlineStr">
        <is>
          <t>HALLANDS LÄN</t>
        </is>
      </c>
      <c r="G136" t="inlineStr">
        <is>
          <t>KUNGSBACKA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46278</v>
      </c>
      <c r="F137" t="inlineStr">
        <is>
          <t>HALLANDS LÄN</t>
        </is>
      </c>
      <c r="G137" t="inlineStr">
        <is>
          <t>KUNGSBACKA</t>
        </is>
      </c>
      <c r="H137" t="inlineStr">
        <is>
          <t>Kyrkan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46278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46278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46278</v>
      </c>
      <c r="F140" t="inlineStr">
        <is>
          <t>HALLANDS LÄN</t>
        </is>
      </c>
      <c r="G140" t="inlineStr">
        <is>
          <t>KUNGSBACKA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46278</v>
      </c>
      <c r="F141" t="inlineStr">
        <is>
          <t>HALLANDS LÄN</t>
        </is>
      </c>
      <c r="G141" t="inlineStr">
        <is>
          <t>KUNGSBACKA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46278</v>
      </c>
      <c r="F142" t="inlineStr">
        <is>
          <t>HALLANDS LÄN</t>
        </is>
      </c>
      <c r="G142" t="inlineStr">
        <is>
          <t>KUNGSBACKA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46278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46278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46278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46278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46278</v>
      </c>
      <c r="F147" t="inlineStr">
        <is>
          <t>HALLANDS LÄN</t>
        </is>
      </c>
      <c r="G147" t="inlineStr">
        <is>
          <t>KUNGSBACKA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46278</v>
      </c>
      <c r="F148" t="inlineStr">
        <is>
          <t>HALLANDS LÄN</t>
        </is>
      </c>
      <c r="G148" t="inlineStr">
        <is>
          <t>KUNGSBACKA</t>
        </is>
      </c>
      <c r="H148" t="inlineStr">
        <is>
          <t>Övriga Aktiebolag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46278</v>
      </c>
      <c r="F149" t="inlineStr">
        <is>
          <t>HALLANDS LÄN</t>
        </is>
      </c>
      <c r="G149" t="inlineStr">
        <is>
          <t>KUNGSBACKA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46278</v>
      </c>
      <c r="F150" t="inlineStr">
        <is>
          <t>HALLANDS LÄN</t>
        </is>
      </c>
      <c r="G150" t="inlineStr">
        <is>
          <t>KUNGSBACKA</t>
        </is>
      </c>
      <c r="H150" t="inlineStr">
        <is>
          <t>Övriga Aktiebolag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46278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46278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46278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45968</v>
      </c>
      <c r="E154" s="1" t="n">
        <v>46278</v>
      </c>
      <c r="F154" t="inlineStr">
        <is>
          <t>HALLANDS LÄN</t>
        </is>
      </c>
      <c r="G154" t="inlineStr">
        <is>
          <t>KUNGSBACKA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46278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18077-2026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46125</v>
      </c>
      <c r="E156" s="1" t="n">
        <v>46278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46278</v>
      </c>
      <c r="F157" t="inlineStr">
        <is>
          <t>HALLANDS LÄN</t>
        </is>
      </c>
      <c r="G157" t="inlineStr">
        <is>
          <t>KUNGSBACKA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46278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46278</v>
      </c>
      <c r="F159" t="inlineStr">
        <is>
          <t>HALLANDS LÄN</t>
        </is>
      </c>
      <c r="G159" t="inlineStr">
        <is>
          <t>KUNGSBACKA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46278</v>
      </c>
      <c r="F160" t="inlineStr">
        <is>
          <t>HALLANDS LÄN</t>
        </is>
      </c>
      <c r="G160" t="inlineStr">
        <is>
          <t>KUNGSBACKA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46278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44468</v>
      </c>
      <c r="E162" s="1" t="n">
        <v>46278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46278</v>
      </c>
      <c r="F163" t="inlineStr">
        <is>
          <t>HALLANDS LÄN</t>
        </is>
      </c>
      <c r="G163" t="inlineStr">
        <is>
          <t>KUNGSBACKA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46278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46278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46278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46278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46278</v>
      </c>
      <c r="F168" t="inlineStr">
        <is>
          <t>HALLANDS LÄN</t>
        </is>
      </c>
      <c r="G168" t="inlineStr">
        <is>
          <t>KUNGSBACKA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46278</v>
      </c>
      <c r="F169" t="inlineStr">
        <is>
          <t>HALLANDS LÄN</t>
        </is>
      </c>
      <c r="G169" t="inlineStr">
        <is>
          <t>KUNGSBACKA</t>
        </is>
      </c>
      <c r="I169" t="n">
        <v>15.2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46278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46278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46278</v>
      </c>
      <c r="F172" t="inlineStr">
        <is>
          <t>HALLANDS LÄN</t>
        </is>
      </c>
      <c r="G172" t="inlineStr">
        <is>
          <t>KUNGSBACKA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45801</v>
      </c>
      <c r="E173" s="1" t="n">
        <v>46278</v>
      </c>
      <c r="F173" t="inlineStr">
        <is>
          <t>HALLANDS LÄN</t>
        </is>
      </c>
      <c r="G173" t="inlineStr">
        <is>
          <t>KUNGSBACKA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46278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46278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17293-2025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45756</v>
      </c>
      <c r="E176" s="1" t="n">
        <v>46278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46278</v>
      </c>
      <c r="F177" t="inlineStr">
        <is>
          <t>HALLANDS LÄN</t>
        </is>
      </c>
      <c r="G177" t="inlineStr">
        <is>
          <t>KUNGSBACKA</t>
        </is>
      </c>
      <c r="H177" t="inlineStr">
        <is>
          <t>Övriga Aktiebolag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45653</v>
      </c>
      <c r="E178" s="1" t="n">
        <v>46278</v>
      </c>
      <c r="F178" t="inlineStr">
        <is>
          <t>HALLANDS LÄN</t>
        </is>
      </c>
      <c r="G178" t="inlineStr">
        <is>
          <t>KUNGSBACKA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46278</v>
      </c>
      <c r="F179" t="inlineStr">
        <is>
          <t>HALLANDS LÄN</t>
        </is>
      </c>
      <c r="G179" t="inlineStr">
        <is>
          <t>KUNGSBACKA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46278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46278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46278</v>
      </c>
      <c r="F182" t="inlineStr">
        <is>
          <t>HALLANDS LÄN</t>
        </is>
      </c>
      <c r="G182" t="inlineStr">
        <is>
          <t>KUNGSBACKA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46278</v>
      </c>
      <c r="F183" t="inlineStr">
        <is>
          <t>HALLANDS LÄN</t>
        </is>
      </c>
      <c r="G183" t="inlineStr">
        <is>
          <t>KUNGSBACKA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46278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46278</v>
      </c>
      <c r="F185" t="inlineStr">
        <is>
          <t>HALLANDS LÄN</t>
        </is>
      </c>
      <c r="G185" t="inlineStr">
        <is>
          <t>KUNGSBACKA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59623-2024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45638</v>
      </c>
      <c r="E186" s="1" t="n">
        <v>46278</v>
      </c>
      <c r="F186" t="inlineStr">
        <is>
          <t>HALLANDS LÄN</t>
        </is>
      </c>
      <c r="G186" t="inlineStr">
        <is>
          <t>KUNGSBACKA</t>
        </is>
      </c>
      <c r="I186" t="n">
        <v>19.2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46278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46278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44831</v>
      </c>
      <c r="E189" s="1" t="n">
        <v>46278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46278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46278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44997</v>
      </c>
      <c r="E192" s="1" t="n">
        <v>46278</v>
      </c>
      <c r="F192" t="inlineStr">
        <is>
          <t>HALLANDS LÄN</t>
        </is>
      </c>
      <c r="G192" t="inlineStr">
        <is>
          <t>KUNGSBACKA</t>
        </is>
      </c>
      <c r="I192" t="n">
        <v>10.5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46278</v>
      </c>
      <c r="F193" t="inlineStr">
        <is>
          <t>HALLANDS LÄN</t>
        </is>
      </c>
      <c r="G193" t="inlineStr">
        <is>
          <t>KUNGSBACKA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14898-2023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45014</v>
      </c>
      <c r="E194" s="1" t="n">
        <v>46278</v>
      </c>
      <c r="F194" t="inlineStr">
        <is>
          <t>HALLANDS LÄN</t>
        </is>
      </c>
      <c r="G194" t="inlineStr">
        <is>
          <t>KUNGSBACKA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46278</v>
      </c>
      <c r="F195" t="inlineStr">
        <is>
          <t>HALLANDS LÄN</t>
        </is>
      </c>
      <c r="G195" t="inlineStr">
        <is>
          <t>KUNGSBACKA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46278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46054</v>
      </c>
      <c r="E197" s="1" t="n">
        <v>46278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46054</v>
      </c>
      <c r="E198" s="1" t="n">
        <v>46278</v>
      </c>
      <c r="F198" t="inlineStr">
        <is>
          <t>HALLANDS LÄN</t>
        </is>
      </c>
      <c r="G198" t="inlineStr">
        <is>
          <t>KUNGSBACKA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46054</v>
      </c>
      <c r="E199" s="1" t="n">
        <v>46278</v>
      </c>
      <c r="F199" t="inlineStr">
        <is>
          <t>HALLANDS LÄN</t>
        </is>
      </c>
      <c r="G199" t="inlineStr">
        <is>
          <t>KUNGSBACKA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46278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46278</v>
      </c>
      <c r="F201" t="inlineStr">
        <is>
          <t>HALLANDS LÄN</t>
        </is>
      </c>
      <c r="G201" t="inlineStr">
        <is>
          <t>KUNGSBACKA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46278</v>
      </c>
      <c r="F202" t="inlineStr">
        <is>
          <t>HALLANDS LÄN</t>
        </is>
      </c>
      <c r="G202" t="inlineStr">
        <is>
          <t>KUNGSBACKA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46278</v>
      </c>
      <c r="F203" t="inlineStr">
        <is>
          <t>HALLANDS LÄN</t>
        </is>
      </c>
      <c r="G203" t="inlineStr">
        <is>
          <t>KUNGSBACKA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46278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46278</v>
      </c>
      <c r="F205" t="inlineStr">
        <is>
          <t>HALLANDS LÄN</t>
        </is>
      </c>
      <c r="G205" t="inlineStr">
        <is>
          <t>KUNGSBACKA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46278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46278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46278</v>
      </c>
      <c r="F208" t="inlineStr">
        <is>
          <t>HALLANDS LÄN</t>
        </is>
      </c>
      <c r="G208" t="inlineStr">
        <is>
          <t>KUNGSBACKA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46278</v>
      </c>
      <c r="F209" t="inlineStr">
        <is>
          <t>HALLANDS LÄN</t>
        </is>
      </c>
      <c r="G209" t="inlineStr">
        <is>
          <t>KUNGSBACKA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46278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14721-2025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46278</v>
      </c>
      <c r="F211" t="inlineStr">
        <is>
          <t>HALLANDS LÄN</t>
        </is>
      </c>
      <c r="G211" t="inlineStr">
        <is>
          <t>KUNGSBACKA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46278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45659</v>
      </c>
      <c r="E213" s="1" t="n">
        <v>46278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46278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46278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44674-2025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45917</v>
      </c>
      <c r="E216" s="1" t="n">
        <v>46278</v>
      </c>
      <c r="F216" t="inlineStr">
        <is>
          <t>HALLANDS LÄN</t>
        </is>
      </c>
      <c r="G216" t="inlineStr">
        <is>
          <t>KUNGSBACKA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46278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46278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46278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44789</v>
      </c>
      <c r="E220" s="1" t="n">
        <v>46278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46278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46278</v>
      </c>
      <c r="F222" t="inlineStr">
        <is>
          <t>HALLANDS LÄN</t>
        </is>
      </c>
      <c r="G222" t="inlineStr">
        <is>
          <t>KUNGSBACKA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46278</v>
      </c>
      <c r="F223" t="inlineStr">
        <is>
          <t>HALLANDS LÄN</t>
        </is>
      </c>
      <c r="G223" t="inlineStr">
        <is>
          <t>KUNGSBACKA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46278</v>
      </c>
      <c r="F224" t="inlineStr">
        <is>
          <t>HALLANDS LÄN</t>
        </is>
      </c>
      <c r="G224" t="inlineStr">
        <is>
          <t>KUNGSBACKA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8677-2022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44613</v>
      </c>
      <c r="E225" s="1" t="n">
        <v>46278</v>
      </c>
      <c r="F225" t="inlineStr">
        <is>
          <t>HALLANDS LÄN</t>
        </is>
      </c>
      <c r="G225" t="inlineStr">
        <is>
          <t>KUNGSBACKA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44773</v>
      </c>
      <c r="E226" s="1" t="n">
        <v>46278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46278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46278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46278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46278</v>
      </c>
      <c r="F230" t="inlineStr">
        <is>
          <t>HALLANDS LÄN</t>
        </is>
      </c>
      <c r="G230" t="inlineStr">
        <is>
          <t>KUNGSBACKA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46278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46278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25351-2026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46176</v>
      </c>
      <c r="E233" s="1" t="n">
        <v>46278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25337-2026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46278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46278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46278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46278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46278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46278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46278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46278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46278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46278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46278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46278</v>
      </c>
      <c r="F245" t="inlineStr">
        <is>
          <t>HALLANDS LÄN</t>
        </is>
      </c>
      <c r="G245" t="inlineStr">
        <is>
          <t>KUNGSBACKA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26733-2026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46184</v>
      </c>
      <c r="E246" s="1" t="n">
        <v>46278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46278</v>
      </c>
      <c r="F247" t="inlineStr">
        <is>
          <t>HALLANDS LÄN</t>
        </is>
      </c>
      <c r="G247" t="inlineStr">
        <is>
          <t>KUNGSBACKA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46278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44925</v>
      </c>
      <c r="E249" s="1" t="n">
        <v>46278</v>
      </c>
      <c r="F249" t="inlineStr">
        <is>
          <t>HALLANDS LÄN</t>
        </is>
      </c>
      <c r="G249" t="inlineStr">
        <is>
          <t>KUNGSBACKA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46278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46278</v>
      </c>
      <c r="F251" t="inlineStr">
        <is>
          <t>HALLANDS LÄN</t>
        </is>
      </c>
      <c r="G251" t="inlineStr">
        <is>
          <t>KUNGSBACKA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46278</v>
      </c>
      <c r="F252" t="inlineStr">
        <is>
          <t>HALLANDS LÄN</t>
        </is>
      </c>
      <c r="G252" t="inlineStr">
        <is>
          <t>KUNGSBACKA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46278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46278</v>
      </c>
      <c r="F254" t="inlineStr">
        <is>
          <t>HALLANDS LÄN</t>
        </is>
      </c>
      <c r="G254" t="inlineStr">
        <is>
          <t>KUNGSBACKA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46278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46278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46278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46278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46278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46278</v>
      </c>
      <c r="F260" t="inlineStr">
        <is>
          <t>HALLANDS LÄN</t>
        </is>
      </c>
      <c r="G260" t="inlineStr">
        <is>
          <t>KUNGSBACKA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44775</v>
      </c>
      <c r="E261" s="1" t="n">
        <v>46278</v>
      </c>
      <c r="F261" t="inlineStr">
        <is>
          <t>HALLANDS LÄN</t>
        </is>
      </c>
      <c r="G261" t="inlineStr">
        <is>
          <t>KUNGSBACKA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46278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46278</v>
      </c>
      <c r="F263" t="inlineStr">
        <is>
          <t>HALLANDS LÄN</t>
        </is>
      </c>
      <c r="G263" t="inlineStr">
        <is>
          <t>KUNGSBACKA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46278</v>
      </c>
      <c r="F264" t="inlineStr">
        <is>
          <t>HALLANDS LÄN</t>
        </is>
      </c>
      <c r="G264" t="inlineStr">
        <is>
          <t>KUNGSBACKA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46278</v>
      </c>
      <c r="F265" t="inlineStr">
        <is>
          <t>HALLANDS LÄN</t>
        </is>
      </c>
      <c r="G265" t="inlineStr">
        <is>
          <t>KUNGSBACKA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46278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46278</v>
      </c>
      <c r="F267" t="inlineStr">
        <is>
          <t>HALLANDS LÄN</t>
        </is>
      </c>
      <c r="G267" t="inlineStr">
        <is>
          <t>KUNGSBACKA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46278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46278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46278</v>
      </c>
      <c r="F270" t="inlineStr">
        <is>
          <t>HALLANDS LÄN</t>
        </is>
      </c>
      <c r="G270" t="inlineStr">
        <is>
          <t>KUNGSBACKA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46278</v>
      </c>
      <c r="F271" t="inlineStr">
        <is>
          <t>HALLANDS LÄN</t>
        </is>
      </c>
      <c r="G271" t="inlineStr">
        <is>
          <t>KUNGSBACKA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46278</v>
      </c>
      <c r="F272" t="inlineStr">
        <is>
          <t>HALLANDS LÄN</t>
        </is>
      </c>
      <c r="G272" t="inlineStr">
        <is>
          <t>KUNGSBACKA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46278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46278</v>
      </c>
      <c r="F274" t="inlineStr">
        <is>
          <t>HALLANDS LÄN</t>
        </is>
      </c>
      <c r="G274" t="inlineStr">
        <is>
          <t>KUNGSBACKA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71891-2021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46278</v>
      </c>
      <c r="F275" t="inlineStr">
        <is>
          <t>HALLANDS LÄN</t>
        </is>
      </c>
      <c r="G275" t="inlineStr">
        <is>
          <t>KUNGSBACKA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46278</v>
      </c>
      <c r="F276" t="inlineStr">
        <is>
          <t>HALLANDS LÄN</t>
        </is>
      </c>
      <c r="G276" t="inlineStr">
        <is>
          <t>KUNGSBACKA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46260</v>
      </c>
      <c r="E277" s="1" t="n">
        <v>46278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46278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46260</v>
      </c>
      <c r="E279" s="1" t="n">
        <v>46278</v>
      </c>
      <c r="F279" t="inlineStr">
        <is>
          <t>HALLANDS LÄN</t>
        </is>
      </c>
      <c r="G279" t="inlineStr">
        <is>
          <t>KUNGSBACKA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46278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46278</v>
      </c>
      <c r="F281" t="inlineStr">
        <is>
          <t>HALLANDS LÄN</t>
        </is>
      </c>
      <c r="G281" t="inlineStr">
        <is>
          <t>KUNGSBACKA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46278</v>
      </c>
      <c r="F282" t="inlineStr">
        <is>
          <t>HALLANDS LÄN</t>
        </is>
      </c>
      <c r="G282" t="inlineStr">
        <is>
          <t>KUNGSBACKA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46278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46278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46278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46278</v>
      </c>
      <c r="F286" t="inlineStr">
        <is>
          <t>HALLANDS LÄN</t>
        </is>
      </c>
      <c r="G286" t="inlineStr">
        <is>
          <t>KUNGSBACKA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45242</v>
      </c>
      <c r="E287" s="1" t="n">
        <v>46278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46278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46278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46278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46278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45288</v>
      </c>
      <c r="E292" s="1" t="n">
        <v>46278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46278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46278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46269</v>
      </c>
      <c r="E295" s="1" t="n">
        <v>46278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46278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46278</v>
      </c>
      <c r="F297" t="inlineStr">
        <is>
          <t>HALLANDS LÄN</t>
        </is>
      </c>
      <c r="G297" t="inlineStr">
        <is>
          <t>KUNGSBACKA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46278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45653</v>
      </c>
      <c r="E299" s="1" t="n">
        <v>46278</v>
      </c>
      <c r="F299" t="inlineStr">
        <is>
          <t>HALLANDS LÄN</t>
        </is>
      </c>
      <c r="G299" t="inlineStr">
        <is>
          <t>KUNGSBACKA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46278</v>
      </c>
      <c r="F300" t="inlineStr">
        <is>
          <t>HALLANDS LÄN</t>
        </is>
      </c>
      <c r="G300" t="inlineStr">
        <is>
          <t>KUNGSBACKA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45733</v>
      </c>
      <c r="E301" s="1" t="n">
        <v>46278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46278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46278</v>
      </c>
      <c r="F303" t="inlineStr">
        <is>
          <t>HALLANDS LÄN</t>
        </is>
      </c>
      <c r="G303" t="inlineStr">
        <is>
          <t>KUNGSBACKA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46278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46278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46278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46278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46278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46278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46278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46278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46278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45679</v>
      </c>
      <c r="E313" s="1" t="n">
        <v>46278</v>
      </c>
      <c r="F313" t="inlineStr">
        <is>
          <t>HALLANDS LÄN</t>
        </is>
      </c>
      <c r="G313" t="inlineStr">
        <is>
          <t>KUNGSBACKA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45800</v>
      </c>
      <c r="E314" s="1" t="n">
        <v>46278</v>
      </c>
      <c r="F314" t="inlineStr">
        <is>
          <t>HALLANDS LÄN</t>
        </is>
      </c>
      <c r="G314" t="inlineStr">
        <is>
          <t>KUNGSBACKA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46278</v>
      </c>
      <c r="F315" t="inlineStr">
        <is>
          <t>HALLANDS LÄN</t>
        </is>
      </c>
      <c r="G315" t="inlineStr">
        <is>
          <t>KUNGSBACKA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46278</v>
      </c>
      <c r="F316" t="inlineStr">
        <is>
          <t>HALLANDS LÄN</t>
        </is>
      </c>
      <c r="G316" t="inlineStr">
        <is>
          <t>KUNGSBACKA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46278</v>
      </c>
      <c r="F317" t="inlineStr">
        <is>
          <t>HALLANDS LÄN</t>
        </is>
      </c>
      <c r="G317" t="inlineStr">
        <is>
          <t>KUNGSBACKA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46278</v>
      </c>
      <c r="F318" t="inlineStr">
        <is>
          <t>HALLANDS LÄN</t>
        </is>
      </c>
      <c r="G318" t="inlineStr">
        <is>
          <t>KUNGSBACKA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46278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2026-09-13T02:17:16Z</dcterms:created>
  <dcterms:modified xmlns:dcterms="http://purl.org/dc/terms/" xmlns:xsi="http://www.w3.org/2001/XMLSchema-instance" xsi:type="dcterms:W3CDTF">2026-09-13T02:17:17Z</dcterms:modified>
</cp:coreProperties>
</file>