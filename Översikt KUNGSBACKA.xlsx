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9526-2024</t>
        </is>
      </c>
      <c r="B2" s="1" t="n">
        <v>45359</v>
      </c>
      <c r="C2" s="1" t="n">
        <v>45640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6.9</v>
      </c>
      <c r="H2" t="n">
        <v>5</v>
      </c>
      <c r="I2" t="n">
        <v>0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Grönfink
Entita
Hornuggla
Rödvingetrast
Gröngöling</t>
        </is>
      </c>
      <c r="S2">
        <f>HYPERLINK("https://klasma.github.io/Logging_1384/artfynd/A 9526-2024 artfynd.xlsx", "A 9526-2024")</f>
        <v/>
      </c>
      <c r="T2">
        <f>HYPERLINK("https://klasma.github.io/Logging_1384/kartor/A 9526-2024 karta.png", "A 9526-2024")</f>
        <v/>
      </c>
      <c r="V2">
        <f>HYPERLINK("https://klasma.github.io/Logging_1384/klagomål/A 9526-2024 FSC-klagomål.docx", "A 9526-2024")</f>
        <v/>
      </c>
      <c r="W2">
        <f>HYPERLINK("https://klasma.github.io/Logging_1384/klagomålsmail/A 9526-2024 FSC-klagomål mail.docx", "A 9526-2024")</f>
        <v/>
      </c>
      <c r="X2">
        <f>HYPERLINK("https://klasma.github.io/Logging_1384/tillsyn/A 9526-2024 tillsynsbegäran.docx", "A 9526-2024")</f>
        <v/>
      </c>
      <c r="Y2">
        <f>HYPERLINK("https://klasma.github.io/Logging_1384/tillsynsmail/A 9526-2024 tillsynsbegäran mail.docx", "A 9526-2024")</f>
        <v/>
      </c>
      <c r="Z2">
        <f>HYPERLINK("https://klasma.github.io/Logging_1384/fåglar/A 9526-2024 prioriterade fågelarter.docx", "A 9526-2024")</f>
        <v/>
      </c>
    </row>
    <row r="3" ht="15" customHeight="1">
      <c r="A3" t="inlineStr">
        <is>
          <t>A 36893-2020</t>
        </is>
      </c>
      <c r="B3" s="1" t="n">
        <v>44053</v>
      </c>
      <c r="C3" s="1" t="n">
        <v>45640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2.9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Grönsångare
Spillkråka
Svartvit flugsnappare
Talltita</t>
        </is>
      </c>
      <c r="S3">
        <f>HYPERLINK("https://klasma.github.io/Logging_1384/artfynd/A 36893-2020 artfynd.xlsx", "A 36893-2020")</f>
        <v/>
      </c>
      <c r="T3">
        <f>HYPERLINK("https://klasma.github.io/Logging_1384/kartor/A 36893-2020 karta.png", "A 36893-2020")</f>
        <v/>
      </c>
      <c r="V3">
        <f>HYPERLINK("https://klasma.github.io/Logging_1384/klagomål/A 36893-2020 FSC-klagomål.docx", "A 36893-2020")</f>
        <v/>
      </c>
      <c r="W3">
        <f>HYPERLINK("https://klasma.github.io/Logging_1384/klagomålsmail/A 36893-2020 FSC-klagomål mail.docx", "A 36893-2020")</f>
        <v/>
      </c>
      <c r="X3">
        <f>HYPERLINK("https://klasma.github.io/Logging_1384/tillsyn/A 36893-2020 tillsynsbegäran.docx", "A 36893-2020")</f>
        <v/>
      </c>
      <c r="Y3">
        <f>HYPERLINK("https://klasma.github.io/Logging_1384/tillsynsmail/A 36893-2020 tillsynsbegäran mail.docx", "A 36893-2020")</f>
        <v/>
      </c>
      <c r="Z3">
        <f>HYPERLINK("https://klasma.github.io/Logging_1384/fåglar/A 36893-2020 prioriterade fågelarter.docx", "A 36893-2020")</f>
        <v/>
      </c>
    </row>
    <row r="4" ht="15" customHeight="1">
      <c r="A4" t="inlineStr">
        <is>
          <t>A 32329-2021</t>
        </is>
      </c>
      <c r="B4" s="1" t="n">
        <v>44371</v>
      </c>
      <c r="C4" s="1" t="n">
        <v>45640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31.3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Kambräken</t>
        </is>
      </c>
      <c r="S4">
        <f>HYPERLINK("https://klasma.github.io/Logging_1384/artfynd/A 32329-2021 artfynd.xlsx", "A 32329-2021")</f>
        <v/>
      </c>
      <c r="T4">
        <f>HYPERLINK("https://klasma.github.io/Logging_1384/kartor/A 32329-2021 karta.png", "A 32329-2021")</f>
        <v/>
      </c>
      <c r="V4">
        <f>HYPERLINK("https://klasma.github.io/Logging_1384/klagomål/A 32329-2021 FSC-klagomål.docx", "A 32329-2021")</f>
        <v/>
      </c>
      <c r="W4">
        <f>HYPERLINK("https://klasma.github.io/Logging_1384/klagomålsmail/A 32329-2021 FSC-klagomål mail.docx", "A 32329-2021")</f>
        <v/>
      </c>
      <c r="X4">
        <f>HYPERLINK("https://klasma.github.io/Logging_1384/tillsyn/A 32329-2021 tillsynsbegäran.docx", "A 32329-2021")</f>
        <v/>
      </c>
      <c r="Y4">
        <f>HYPERLINK("https://klasma.github.io/Logging_1384/tillsynsmail/A 32329-2021 tillsynsbegäran mail.docx", "A 32329-2021")</f>
        <v/>
      </c>
      <c r="Z4">
        <f>HYPERLINK("https://klasma.github.io/Logging_1384/fåglar/A 32329-2021 prioriterade fågelarter.docx", "A 32329-2021")</f>
        <v/>
      </c>
    </row>
    <row r="5" ht="15" customHeight="1">
      <c r="A5" t="inlineStr">
        <is>
          <t>A 13374-2022</t>
        </is>
      </c>
      <c r="B5" s="1" t="n">
        <v>44645</v>
      </c>
      <c r="C5" s="1" t="n">
        <v>45640</v>
      </c>
      <c r="D5" t="inlineStr">
        <is>
          <t>HALLANDS LÄN</t>
        </is>
      </c>
      <c r="E5" t="inlineStr">
        <is>
          <t>KUNGSBACKA</t>
        </is>
      </c>
      <c r="G5" t="n">
        <v>10.5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Svartvit flugsnappare</t>
        </is>
      </c>
      <c r="S5">
        <f>HYPERLINK("https://klasma.github.io/Logging_1384/artfynd/A 13374-2022 artfynd.xlsx", "A 13374-2022")</f>
        <v/>
      </c>
      <c r="T5">
        <f>HYPERLINK("https://klasma.github.io/Logging_1384/kartor/A 13374-2022 karta.png", "A 13374-2022")</f>
        <v/>
      </c>
      <c r="V5">
        <f>HYPERLINK("https://klasma.github.io/Logging_1384/klagomål/A 13374-2022 FSC-klagomål.docx", "A 13374-2022")</f>
        <v/>
      </c>
      <c r="W5">
        <f>HYPERLINK("https://klasma.github.io/Logging_1384/klagomålsmail/A 13374-2022 FSC-klagomål mail.docx", "A 13374-2022")</f>
        <v/>
      </c>
      <c r="X5">
        <f>HYPERLINK("https://klasma.github.io/Logging_1384/tillsyn/A 13374-2022 tillsynsbegäran.docx", "A 13374-2022")</f>
        <v/>
      </c>
      <c r="Y5">
        <f>HYPERLINK("https://klasma.github.io/Logging_1384/tillsynsmail/A 13374-2022 tillsynsbegäran mail.docx", "A 13374-2022")</f>
        <v/>
      </c>
      <c r="Z5">
        <f>HYPERLINK("https://klasma.github.io/Logging_1384/fåglar/A 13374-2022 prioriterade fågelarter.docx", "A 13374-2022")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45640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6067-2023</t>
        </is>
      </c>
      <c r="B7" s="1" t="n">
        <v>44964</v>
      </c>
      <c r="C7" s="1" t="n">
        <v>45640</v>
      </c>
      <c r="D7" t="inlineStr">
        <is>
          <t>HALLANDS LÄN</t>
        </is>
      </c>
      <c r="E7" t="inlineStr">
        <is>
          <t>KUNGSBACKA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Gråskimlig fladdermus
Större vattensalamander</t>
        </is>
      </c>
      <c r="S7">
        <f>HYPERLINK("https://klasma.github.io/Logging_1384/artfynd/A 6067-2023 artfynd.xlsx", "A 6067-2023")</f>
        <v/>
      </c>
      <c r="T7">
        <f>HYPERLINK("https://klasma.github.io/Logging_1384/kartor/A 6067-2023 karta.png", "A 6067-2023")</f>
        <v/>
      </c>
      <c r="V7">
        <f>HYPERLINK("https://klasma.github.io/Logging_1384/klagomål/A 6067-2023 FSC-klagomål.docx", "A 6067-2023")</f>
        <v/>
      </c>
      <c r="W7">
        <f>HYPERLINK("https://klasma.github.io/Logging_1384/klagomålsmail/A 6067-2023 FSC-klagomål mail.docx", "A 6067-2023")</f>
        <v/>
      </c>
      <c r="X7">
        <f>HYPERLINK("https://klasma.github.io/Logging_1384/tillsyn/A 6067-2023 tillsynsbegäran.docx", "A 6067-2023")</f>
        <v/>
      </c>
      <c r="Y7">
        <f>HYPERLINK("https://klasma.github.io/Logging_1384/tillsynsmail/A 6067-2023 tillsynsbegäran mail.docx", "A 6067-2023")</f>
        <v/>
      </c>
    </row>
    <row r="8" ht="15" customHeight="1">
      <c r="A8" t="inlineStr">
        <is>
          <t>A 4831-2021</t>
        </is>
      </c>
      <c r="B8" s="1" t="n">
        <v>44225</v>
      </c>
      <c r="C8" s="1" t="n">
        <v>45640</v>
      </c>
      <c r="D8" t="inlineStr">
        <is>
          <t>HALLANDS LÄN</t>
        </is>
      </c>
      <c r="E8" t="inlineStr">
        <is>
          <t>KUNGSBACKA</t>
        </is>
      </c>
      <c r="G8" t="n">
        <v>7.4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HYPERLINK("https://klasma.github.io/Logging_1384/artfynd/A 4831-2021 artfynd.xlsx", "A 4831-2021")</f>
        <v/>
      </c>
      <c r="T8">
        <f>HYPERLINK("https://klasma.github.io/Logging_1384/kartor/A 4831-2021 karta.png", "A 4831-2021")</f>
        <v/>
      </c>
      <c r="V8">
        <f>HYPERLINK("https://klasma.github.io/Logging_1384/klagomål/A 4831-2021 FSC-klagomål.docx", "A 4831-2021")</f>
        <v/>
      </c>
      <c r="W8">
        <f>HYPERLINK("https://klasma.github.io/Logging_1384/klagomålsmail/A 4831-2021 FSC-klagomål mail.docx", "A 4831-2021")</f>
        <v/>
      </c>
      <c r="X8">
        <f>HYPERLINK("https://klasma.github.io/Logging_1384/tillsyn/A 4831-2021 tillsynsbegäran.docx", "A 4831-2021")</f>
        <v/>
      </c>
      <c r="Y8">
        <f>HYPERLINK("https://klasma.github.io/Logging_1384/tillsynsmail/A 4831-2021 tillsynsbegäran mail.docx", "A 4831-2021")</f>
        <v/>
      </c>
    </row>
    <row r="9" ht="15" customHeight="1">
      <c r="A9" t="inlineStr">
        <is>
          <t>A 63965-2021</t>
        </is>
      </c>
      <c r="B9" s="1" t="n">
        <v>44509</v>
      </c>
      <c r="C9" s="1" t="n">
        <v>45640</v>
      </c>
      <c r="D9" t="inlineStr">
        <is>
          <t>HALLANDS LÄN</t>
        </is>
      </c>
      <c r="E9" t="inlineStr">
        <is>
          <t>KUNGSBACKA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HYPERLINK("https://klasma.github.io/Logging_1384/artfynd/A 63965-2021 artfynd.xlsx", "A 63965-2021")</f>
        <v/>
      </c>
      <c r="T9">
        <f>HYPERLINK("https://klasma.github.io/Logging_1384/kartor/A 63965-2021 karta.png", "A 63965-2021")</f>
        <v/>
      </c>
      <c r="V9">
        <f>HYPERLINK("https://klasma.github.io/Logging_1384/klagomål/A 63965-2021 FSC-klagomål.docx", "A 63965-2021")</f>
        <v/>
      </c>
      <c r="W9">
        <f>HYPERLINK("https://klasma.github.io/Logging_1384/klagomålsmail/A 63965-2021 FSC-klagomål mail.docx", "A 63965-2021")</f>
        <v/>
      </c>
      <c r="X9">
        <f>HYPERLINK("https://klasma.github.io/Logging_1384/tillsyn/A 63965-2021 tillsynsbegäran.docx", "A 63965-2021")</f>
        <v/>
      </c>
      <c r="Y9">
        <f>HYPERLINK("https://klasma.github.io/Logging_1384/tillsynsmail/A 63965-2021 tillsynsbegäran mail.docx", "A 63965-2021")</f>
        <v/>
      </c>
    </row>
    <row r="10" ht="15" customHeight="1">
      <c r="A10" t="inlineStr">
        <is>
          <t>A 52318-2022</t>
        </is>
      </c>
      <c r="B10" s="1" t="n">
        <v>44873</v>
      </c>
      <c r="C10" s="1" t="n">
        <v>45640</v>
      </c>
      <c r="D10" t="inlineStr">
        <is>
          <t>HALLANDS LÄN</t>
        </is>
      </c>
      <c r="E10" t="inlineStr">
        <is>
          <t>KUNGSBACKA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HYPERLINK("https://klasma.github.io/Logging_1384/artfynd/A 52318-2022 artfynd.xlsx", "A 52318-2022")</f>
        <v/>
      </c>
      <c r="T10">
        <f>HYPERLINK("https://klasma.github.io/Logging_1384/kartor/A 52318-2022 karta.png", "A 52318-2022")</f>
        <v/>
      </c>
      <c r="V10">
        <f>HYPERLINK("https://klasma.github.io/Logging_1384/klagomål/A 52318-2022 FSC-klagomål.docx", "A 52318-2022")</f>
        <v/>
      </c>
      <c r="W10">
        <f>HYPERLINK("https://klasma.github.io/Logging_1384/klagomålsmail/A 52318-2022 FSC-klagomål mail.docx", "A 52318-2022")</f>
        <v/>
      </c>
      <c r="X10">
        <f>HYPERLINK("https://klasma.github.io/Logging_1384/tillsyn/A 52318-2022 tillsynsbegäran.docx", "A 52318-2022")</f>
        <v/>
      </c>
      <c r="Y10">
        <f>HYPERLINK("https://klasma.github.io/Logging_1384/tillsynsmail/A 52318-2022 tillsynsbegäran mail.docx", "A 52318-2022")</f>
        <v/>
      </c>
    </row>
    <row r="11" ht="15" customHeight="1">
      <c r="A11" t="inlineStr">
        <is>
          <t>A 9006-2023</t>
        </is>
      </c>
      <c r="B11" s="1" t="n">
        <v>44979</v>
      </c>
      <c r="C11" s="1" t="n">
        <v>45640</v>
      </c>
      <c r="D11" t="inlineStr">
        <is>
          <t>HALLANDS LÄN</t>
        </is>
      </c>
      <c r="E11" t="inlineStr">
        <is>
          <t>KUNGSBACKA</t>
        </is>
      </c>
      <c r="G11" t="n">
        <v>13.5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Hedjohannesört</t>
        </is>
      </c>
      <c r="S11">
        <f>HYPERLINK("https://klasma.github.io/Logging_1384/artfynd/A 9006-2023 artfynd.xlsx", "A 9006-2023")</f>
        <v/>
      </c>
      <c r="T11">
        <f>HYPERLINK("https://klasma.github.io/Logging_1384/kartor/A 9006-2023 karta.png", "A 9006-2023")</f>
        <v/>
      </c>
      <c r="V11">
        <f>HYPERLINK("https://klasma.github.io/Logging_1384/klagomål/A 9006-2023 FSC-klagomål.docx", "A 9006-2023")</f>
        <v/>
      </c>
      <c r="W11">
        <f>HYPERLINK("https://klasma.github.io/Logging_1384/klagomålsmail/A 9006-2023 FSC-klagomål mail.docx", "A 9006-2023")</f>
        <v/>
      </c>
      <c r="X11">
        <f>HYPERLINK("https://klasma.github.io/Logging_1384/tillsyn/A 9006-2023 tillsynsbegäran.docx", "A 9006-2023")</f>
        <v/>
      </c>
      <c r="Y11">
        <f>HYPERLINK("https://klasma.github.io/Logging_1384/tillsynsmail/A 9006-2023 tillsynsbegäran mail.docx", "A 9006-2023")</f>
        <v/>
      </c>
    </row>
    <row r="12" ht="15" customHeight="1">
      <c r="A12" t="inlineStr">
        <is>
          <t>A 46459-2023</t>
        </is>
      </c>
      <c r="B12" s="1" t="n">
        <v>45197</v>
      </c>
      <c r="C12" s="1" t="n">
        <v>45640</v>
      </c>
      <c r="D12" t="inlineStr">
        <is>
          <t>HALLANDS LÄN</t>
        </is>
      </c>
      <c r="E12" t="inlineStr">
        <is>
          <t>KUNGSBACKA</t>
        </is>
      </c>
      <c r="F12" t="inlineStr">
        <is>
          <t>Övriga Aktiebolag</t>
        </is>
      </c>
      <c r="G12" t="n">
        <v>5.4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Drillsnäppa</t>
        </is>
      </c>
      <c r="S12">
        <f>HYPERLINK("https://klasma.github.io/Logging_1384/artfynd/A 46459-2023 artfynd.xlsx", "A 46459-2023")</f>
        <v/>
      </c>
      <c r="T12">
        <f>HYPERLINK("https://klasma.github.io/Logging_1384/kartor/A 46459-2023 karta.png", "A 46459-2023")</f>
        <v/>
      </c>
      <c r="V12">
        <f>HYPERLINK("https://klasma.github.io/Logging_1384/klagomål/A 46459-2023 FSC-klagomål.docx", "A 46459-2023")</f>
        <v/>
      </c>
      <c r="W12">
        <f>HYPERLINK("https://klasma.github.io/Logging_1384/klagomålsmail/A 46459-2023 FSC-klagomål mail.docx", "A 46459-2023")</f>
        <v/>
      </c>
      <c r="X12">
        <f>HYPERLINK("https://klasma.github.io/Logging_1384/tillsyn/A 46459-2023 tillsynsbegäran.docx", "A 46459-2023")</f>
        <v/>
      </c>
      <c r="Y12">
        <f>HYPERLINK("https://klasma.github.io/Logging_1384/tillsynsmail/A 46459-2023 tillsynsbegäran mail.docx", "A 46459-2023")</f>
        <v/>
      </c>
    </row>
    <row r="13" ht="15" customHeight="1">
      <c r="A13" t="inlineStr">
        <is>
          <t>A 2988-2024</t>
        </is>
      </c>
      <c r="B13" s="1" t="n">
        <v>45315</v>
      </c>
      <c r="C13" s="1" t="n">
        <v>45640</v>
      </c>
      <c r="D13" t="inlineStr">
        <is>
          <t>HALLANDS LÄN</t>
        </is>
      </c>
      <c r="E13" t="inlineStr">
        <is>
          <t>KUNGSBACKA</t>
        </is>
      </c>
      <c r="G13" t="n">
        <v>9.1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HYPERLINK("https://klasma.github.io/Logging_1384/artfynd/A 2988-2024 artfynd.xlsx", "A 2988-2024")</f>
        <v/>
      </c>
      <c r="T13">
        <f>HYPERLINK("https://klasma.github.io/Logging_1384/kartor/A 2988-2024 karta.png", "A 2988-2024")</f>
        <v/>
      </c>
      <c r="V13">
        <f>HYPERLINK("https://klasma.github.io/Logging_1384/klagomål/A 2988-2024 FSC-klagomål.docx", "A 2988-2024")</f>
        <v/>
      </c>
      <c r="W13">
        <f>HYPERLINK("https://klasma.github.io/Logging_1384/klagomålsmail/A 2988-2024 FSC-klagomål mail.docx", "A 2988-2024")</f>
        <v/>
      </c>
      <c r="X13">
        <f>HYPERLINK("https://klasma.github.io/Logging_1384/tillsyn/A 2988-2024 tillsynsbegäran.docx", "A 2988-2024")</f>
        <v/>
      </c>
      <c r="Y13">
        <f>HYPERLINK("https://klasma.github.io/Logging_1384/tillsynsmail/A 2988-2024 tillsynsbegäran mail.docx", "A 2988-2024")</f>
        <v/>
      </c>
    </row>
    <row r="14" ht="15" customHeight="1">
      <c r="A14" t="inlineStr">
        <is>
          <t>A 34740-2024</t>
        </is>
      </c>
      <c r="B14" s="1" t="n">
        <v>45526</v>
      </c>
      <c r="C14" s="1" t="n">
        <v>45640</v>
      </c>
      <c r="D14" t="inlineStr">
        <is>
          <t>HALLANDS LÄN</t>
        </is>
      </c>
      <c r="E14" t="inlineStr">
        <is>
          <t>KUNGSBACKA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34740-2024 artfynd.xlsx", "A 34740-2024")</f>
        <v/>
      </c>
      <c r="T14">
        <f>HYPERLINK("https://klasma.github.io/Logging_1384/kartor/A 34740-2024 karta.png", "A 34740-2024")</f>
        <v/>
      </c>
      <c r="V14">
        <f>HYPERLINK("https://klasma.github.io/Logging_1384/klagomål/A 34740-2024 FSC-klagomål.docx", "A 34740-2024")</f>
        <v/>
      </c>
      <c r="W14">
        <f>HYPERLINK("https://klasma.github.io/Logging_1384/klagomålsmail/A 34740-2024 FSC-klagomål mail.docx", "A 34740-2024")</f>
        <v/>
      </c>
      <c r="X14">
        <f>HYPERLINK("https://klasma.github.io/Logging_1384/tillsyn/A 34740-2024 tillsynsbegäran.docx", "A 34740-2024")</f>
        <v/>
      </c>
      <c r="Y14">
        <f>HYPERLINK("https://klasma.github.io/Logging_1384/tillsynsmail/A 34740-2024 tillsynsbegäran mail.docx", "A 34740-2024")</f>
        <v/>
      </c>
    </row>
    <row r="15" ht="15" customHeight="1">
      <c r="A15" t="inlineStr">
        <is>
          <t>A 34772-2024</t>
        </is>
      </c>
      <c r="B15" s="1" t="n">
        <v>45526</v>
      </c>
      <c r="C15" s="1" t="n">
        <v>45640</v>
      </c>
      <c r="D15" t="inlineStr">
        <is>
          <t>HALLANDS LÄN</t>
        </is>
      </c>
      <c r="E15" t="inlineStr">
        <is>
          <t>KUNGSBACKA</t>
        </is>
      </c>
      <c r="G15" t="n">
        <v>13.2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34772-2024 artfynd.xlsx", "A 34772-2024")</f>
        <v/>
      </c>
      <c r="T15">
        <f>HYPERLINK("https://klasma.github.io/Logging_1384/kartor/A 34772-2024 karta.png", "A 34772-2024")</f>
        <v/>
      </c>
      <c r="V15">
        <f>HYPERLINK("https://klasma.github.io/Logging_1384/klagomål/A 34772-2024 FSC-klagomål.docx", "A 34772-2024")</f>
        <v/>
      </c>
      <c r="W15">
        <f>HYPERLINK("https://klasma.github.io/Logging_1384/klagomålsmail/A 34772-2024 FSC-klagomål mail.docx", "A 34772-2024")</f>
        <v/>
      </c>
      <c r="X15">
        <f>HYPERLINK("https://klasma.github.io/Logging_1384/tillsyn/A 34772-2024 tillsynsbegäran.docx", "A 34772-2024")</f>
        <v/>
      </c>
      <c r="Y15">
        <f>HYPERLINK("https://klasma.github.io/Logging_1384/tillsynsmail/A 34772-2024 tillsynsbegäran mail.docx", "A 34772-2024")</f>
        <v/>
      </c>
    </row>
    <row r="16" ht="15" customHeight="1">
      <c r="A16" t="inlineStr">
        <is>
          <t>A 17886-2019</t>
        </is>
      </c>
      <c r="B16" s="1" t="n">
        <v>43557</v>
      </c>
      <c r="C16" s="1" t="n">
        <v>45640</v>
      </c>
      <c r="D16" t="inlineStr">
        <is>
          <t>HALLANDS LÄN</t>
        </is>
      </c>
      <c r="E16" t="inlineStr">
        <is>
          <t>KUNGSBACKA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19013-2019</t>
        </is>
      </c>
      <c r="B17" s="1" t="n">
        <v>43563</v>
      </c>
      <c r="C17" s="1" t="n">
        <v>45640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19331-2019</t>
        </is>
      </c>
      <c r="B18" s="1" t="n">
        <v>43565</v>
      </c>
      <c r="C18" s="1" t="n">
        <v>45640</v>
      </c>
      <c r="D18" t="inlineStr">
        <is>
          <t>HALLANDS LÄN</t>
        </is>
      </c>
      <c r="E18" t="inlineStr">
        <is>
          <t>KUNGSBACKA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21505-2019</t>
        </is>
      </c>
      <c r="B19" s="1" t="n">
        <v>43580</v>
      </c>
      <c r="C19" s="1" t="n">
        <v>45640</v>
      </c>
      <c r="D19" t="inlineStr">
        <is>
          <t>HALLANDS LÄN</t>
        </is>
      </c>
      <c r="E19" t="inlineStr">
        <is>
          <t>KUNGSBACKA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21996-2019</t>
        </is>
      </c>
      <c r="B20" s="1" t="n">
        <v>43584</v>
      </c>
      <c r="C20" s="1" t="n">
        <v>45640</v>
      </c>
      <c r="D20" t="inlineStr">
        <is>
          <t>HALLANDS LÄN</t>
        </is>
      </c>
      <c r="E20" t="inlineStr">
        <is>
          <t>KUNGSBACKA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22474-2019</t>
        </is>
      </c>
      <c r="B21" s="1" t="n">
        <v>43587</v>
      </c>
      <c r="C21" s="1" t="n">
        <v>45640</v>
      </c>
      <c r="D21" t="inlineStr">
        <is>
          <t>HALLANDS LÄN</t>
        </is>
      </c>
      <c r="E21" t="inlineStr">
        <is>
          <t>KUNGSBACKA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23857-2019</t>
        </is>
      </c>
      <c r="B22" s="1" t="n">
        <v>43595</v>
      </c>
      <c r="C22" s="1" t="n">
        <v>45640</v>
      </c>
      <c r="D22" t="inlineStr">
        <is>
          <t>HALLANDS LÄN</t>
        </is>
      </c>
      <c r="E22" t="inlineStr">
        <is>
          <t>KUNGSBACKA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25536-2019</t>
        </is>
      </c>
      <c r="B23" s="1" t="n">
        <v>43606</v>
      </c>
      <c r="C23" s="1" t="n">
        <v>45640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27467-2019</t>
        </is>
      </c>
      <c r="B24" s="1" t="n">
        <v>43619</v>
      </c>
      <c r="C24" s="1" t="n">
        <v>45640</v>
      </c>
      <c r="D24" t="inlineStr">
        <is>
          <t>HALLANDS LÄN</t>
        </is>
      </c>
      <c r="E24" t="inlineStr">
        <is>
          <t>KUNGSBACKA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28032-2019</t>
        </is>
      </c>
      <c r="B25" s="1" t="n">
        <v>43621</v>
      </c>
      <c r="C25" s="1" t="n">
        <v>45640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28459-2019</t>
        </is>
      </c>
      <c r="B26" s="1" t="n">
        <v>43626</v>
      </c>
      <c r="C26" s="1" t="n">
        <v>45640</v>
      </c>
      <c r="D26" t="inlineStr">
        <is>
          <t>HALLANDS LÄN</t>
        </is>
      </c>
      <c r="E26" t="inlineStr">
        <is>
          <t>KUNGSBACKA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31498-2019</t>
        </is>
      </c>
      <c r="B27" s="1" t="n">
        <v>43641</v>
      </c>
      <c r="C27" s="1" t="n">
        <v>45640</v>
      </c>
      <c r="D27" t="inlineStr">
        <is>
          <t>HALLANDS LÄN</t>
        </is>
      </c>
      <c r="E27" t="inlineStr">
        <is>
          <t>KUNGSBACKA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32059-2019</t>
        </is>
      </c>
      <c r="B28" s="1" t="n">
        <v>43643</v>
      </c>
      <c r="C28" s="1" t="n">
        <v>45640</v>
      </c>
      <c r="D28" t="inlineStr">
        <is>
          <t>HALLANDS LÄN</t>
        </is>
      </c>
      <c r="E28" t="inlineStr">
        <is>
          <t>KUNGSBACKA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32437-2019</t>
        </is>
      </c>
      <c r="B29" s="1" t="n">
        <v>43644</v>
      </c>
      <c r="C29" s="1" t="n">
        <v>45640</v>
      </c>
      <c r="D29" t="inlineStr">
        <is>
          <t>HALLANDS LÄN</t>
        </is>
      </c>
      <c r="E29" t="inlineStr">
        <is>
          <t>KUNGSBACKA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33205-2019</t>
        </is>
      </c>
      <c r="B30" s="1" t="n">
        <v>43649</v>
      </c>
      <c r="C30" s="1" t="n">
        <v>45640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35274-2019</t>
        </is>
      </c>
      <c r="B31" s="1" t="n">
        <v>43662</v>
      </c>
      <c r="C31" s="1" t="n">
        <v>45640</v>
      </c>
      <c r="D31" t="inlineStr">
        <is>
          <t>HALLANDS LÄN</t>
        </is>
      </c>
      <c r="E31" t="inlineStr">
        <is>
          <t>KUNGSBACKA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35263-2019</t>
        </is>
      </c>
      <c r="B32" s="1" t="n">
        <v>43662</v>
      </c>
      <c r="C32" s="1" t="n">
        <v>45640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35265-2019</t>
        </is>
      </c>
      <c r="B33" s="1" t="n">
        <v>43662</v>
      </c>
      <c r="C33" s="1" t="n">
        <v>45640</v>
      </c>
      <c r="D33" t="inlineStr">
        <is>
          <t>HALLANDS LÄN</t>
        </is>
      </c>
      <c r="E33" t="inlineStr">
        <is>
          <t>KUNGSBACKA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35446-2019</t>
        </is>
      </c>
      <c r="B34" s="1" t="n">
        <v>43663</v>
      </c>
      <c r="C34" s="1" t="n">
        <v>45640</v>
      </c>
      <c r="D34" t="inlineStr">
        <is>
          <t>HALLANDS LÄN</t>
        </is>
      </c>
      <c r="E34" t="inlineStr">
        <is>
          <t>KUNGSBACKA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42233-2019</t>
        </is>
      </c>
      <c r="B35" s="1" t="n">
        <v>43703</v>
      </c>
      <c r="C35" s="1" t="n">
        <v>45640</v>
      </c>
      <c r="D35" t="inlineStr">
        <is>
          <t>HALLANDS LÄN</t>
        </is>
      </c>
      <c r="E35" t="inlineStr">
        <is>
          <t>KUNGSBACKA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43453-2019</t>
        </is>
      </c>
      <c r="B36" s="1" t="n">
        <v>43704</v>
      </c>
      <c r="C36" s="1" t="n">
        <v>45640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43936-2019</t>
        </is>
      </c>
      <c r="B37" s="1" t="n">
        <v>43707</v>
      </c>
      <c r="C37" s="1" t="n">
        <v>45640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51495-2019</t>
        </is>
      </c>
      <c r="B38" s="1" t="n">
        <v>43740</v>
      </c>
      <c r="C38" s="1" t="n">
        <v>45640</v>
      </c>
      <c r="D38" t="inlineStr">
        <is>
          <t>HALLANDS LÄN</t>
        </is>
      </c>
      <c r="E38" t="inlineStr">
        <is>
          <t>KUNGSBACKA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52007-2019</t>
        </is>
      </c>
      <c r="B39" s="1" t="n">
        <v>43742</v>
      </c>
      <c r="C39" s="1" t="n">
        <v>45640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53288-2019</t>
        </is>
      </c>
      <c r="B40" s="1" t="n">
        <v>43748</v>
      </c>
      <c r="C40" s="1" t="n">
        <v>45640</v>
      </c>
      <c r="D40" t="inlineStr">
        <is>
          <t>HALLANDS LÄN</t>
        </is>
      </c>
      <c r="E40" t="inlineStr">
        <is>
          <t>KUNGSBACKA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54537-2019</t>
        </is>
      </c>
      <c r="B41" s="1" t="n">
        <v>43754</v>
      </c>
      <c r="C41" s="1" t="n">
        <v>45640</v>
      </c>
      <c r="D41" t="inlineStr">
        <is>
          <t>HALLANDS LÄN</t>
        </is>
      </c>
      <c r="E41" t="inlineStr">
        <is>
          <t>KUNGSBACKA</t>
        </is>
      </c>
      <c r="F41" t="inlineStr">
        <is>
          <t>Sveaskog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54535-2019</t>
        </is>
      </c>
      <c r="B42" s="1" t="n">
        <v>43754</v>
      </c>
      <c r="C42" s="1" t="n">
        <v>45640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54530-2019</t>
        </is>
      </c>
      <c r="B43" s="1" t="n">
        <v>43754</v>
      </c>
      <c r="C43" s="1" t="n">
        <v>45640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54533-2019</t>
        </is>
      </c>
      <c r="B44" s="1" t="n">
        <v>43754</v>
      </c>
      <c r="C44" s="1" t="n">
        <v>45640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6980-2020</t>
        </is>
      </c>
      <c r="B45" s="1" t="n">
        <v>43868</v>
      </c>
      <c r="C45" s="1" t="n">
        <v>45640</v>
      </c>
      <c r="D45" t="inlineStr">
        <is>
          <t>HALLANDS LÄN</t>
        </is>
      </c>
      <c r="E45" t="inlineStr">
        <is>
          <t>KUNGSBACKA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10195-2020</t>
        </is>
      </c>
      <c r="B46" s="1" t="n">
        <v>43885</v>
      </c>
      <c r="C46" s="1" t="n">
        <v>45640</v>
      </c>
      <c r="D46" t="inlineStr">
        <is>
          <t>HALLANDS LÄN</t>
        </is>
      </c>
      <c r="E46" t="inlineStr">
        <is>
          <t>KUNGSBACKA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10370-2020</t>
        </is>
      </c>
      <c r="B47" s="1" t="n">
        <v>43885</v>
      </c>
      <c r="C47" s="1" t="n">
        <v>45640</v>
      </c>
      <c r="D47" t="inlineStr">
        <is>
          <t>HALLANDS LÄN</t>
        </is>
      </c>
      <c r="E47" t="inlineStr">
        <is>
          <t>KUNGSBACKA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11459-2020</t>
        </is>
      </c>
      <c r="B48" s="1" t="n">
        <v>43893</v>
      </c>
      <c r="C48" s="1" t="n">
        <v>45640</v>
      </c>
      <c r="D48" t="inlineStr">
        <is>
          <t>HALLANDS LÄN</t>
        </is>
      </c>
      <c r="E48" t="inlineStr">
        <is>
          <t>KUNGSBACKA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13631-2020</t>
        </is>
      </c>
      <c r="B49" s="1" t="n">
        <v>43903</v>
      </c>
      <c r="C49" s="1" t="n">
        <v>45640</v>
      </c>
      <c r="D49" t="inlineStr">
        <is>
          <t>HALLANDS LÄN</t>
        </is>
      </c>
      <c r="E49" t="inlineStr">
        <is>
          <t>KUNGSBACKA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14299-2020</t>
        </is>
      </c>
      <c r="B50" s="1" t="n">
        <v>43907</v>
      </c>
      <c r="C50" s="1" t="n">
        <v>45640</v>
      </c>
      <c r="D50" t="inlineStr">
        <is>
          <t>HALLANDS LÄN</t>
        </is>
      </c>
      <c r="E50" t="inlineStr">
        <is>
          <t>KUNGSBACKA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14296-2020</t>
        </is>
      </c>
      <c r="B51" s="1" t="n">
        <v>43907</v>
      </c>
      <c r="C51" s="1" t="n">
        <v>45640</v>
      </c>
      <c r="D51" t="inlineStr">
        <is>
          <t>HALLANDS LÄN</t>
        </is>
      </c>
      <c r="E51" t="inlineStr">
        <is>
          <t>KUNGSBACKA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16250-2020</t>
        </is>
      </c>
      <c r="B52" s="1" t="n">
        <v>43917</v>
      </c>
      <c r="C52" s="1" t="n">
        <v>45640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16902-2020</t>
        </is>
      </c>
      <c r="B53" s="1" t="n">
        <v>43921</v>
      </c>
      <c r="C53" s="1" t="n">
        <v>45640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17258-2020</t>
        </is>
      </c>
      <c r="B54" s="1" t="n">
        <v>43922</v>
      </c>
      <c r="C54" s="1" t="n">
        <v>45640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18328-2020</t>
        </is>
      </c>
      <c r="B55" s="1" t="n">
        <v>43928</v>
      </c>
      <c r="C55" s="1" t="n">
        <v>45640</v>
      </c>
      <c r="D55" t="inlineStr">
        <is>
          <t>HALLANDS LÄN</t>
        </is>
      </c>
      <c r="E55" t="inlineStr">
        <is>
          <t>KUNGSBACKA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18321-2020</t>
        </is>
      </c>
      <c r="B56" s="1" t="n">
        <v>43928</v>
      </c>
      <c r="C56" s="1" t="n">
        <v>45640</v>
      </c>
      <c r="D56" t="inlineStr">
        <is>
          <t>HALLANDS LÄN</t>
        </is>
      </c>
      <c r="E56" t="inlineStr">
        <is>
          <t>KUNGSBACKA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21678-2020</t>
        </is>
      </c>
      <c r="B57" s="1" t="n">
        <v>43957</v>
      </c>
      <c r="C57" s="1" t="n">
        <v>45640</v>
      </c>
      <c r="D57" t="inlineStr">
        <is>
          <t>HALLANDS LÄN</t>
        </is>
      </c>
      <c r="E57" t="inlineStr">
        <is>
          <t>KUNGSBACKA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22014-2020</t>
        </is>
      </c>
      <c r="B58" s="1" t="n">
        <v>43959</v>
      </c>
      <c r="C58" s="1" t="n">
        <v>45640</v>
      </c>
      <c r="D58" t="inlineStr">
        <is>
          <t>HALLANDS LÄN</t>
        </is>
      </c>
      <c r="E58" t="inlineStr">
        <is>
          <t>KUNGSBACKA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23226-2020</t>
        </is>
      </c>
      <c r="B59" s="1" t="n">
        <v>43966</v>
      </c>
      <c r="C59" s="1" t="n">
        <v>45640</v>
      </c>
      <c r="D59" t="inlineStr">
        <is>
          <t>HALLANDS LÄN</t>
        </is>
      </c>
      <c r="E59" t="inlineStr">
        <is>
          <t>KUNGSBACKA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24631-2020</t>
        </is>
      </c>
      <c r="B60" s="1" t="n">
        <v>43977</v>
      </c>
      <c r="C60" s="1" t="n">
        <v>45640</v>
      </c>
      <c r="D60" t="inlineStr">
        <is>
          <t>HALLANDS LÄN</t>
        </is>
      </c>
      <c r="E60" t="inlineStr">
        <is>
          <t>KUNGSBACKA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24634-2020</t>
        </is>
      </c>
      <c r="B61" s="1" t="n">
        <v>43977</v>
      </c>
      <c r="C61" s="1" t="n">
        <v>45640</v>
      </c>
      <c r="D61" t="inlineStr">
        <is>
          <t>HALLANDS LÄN</t>
        </is>
      </c>
      <c r="E61" t="inlineStr">
        <is>
          <t>KUNGSBACKA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25960-2020</t>
        </is>
      </c>
      <c r="B62" s="1" t="n">
        <v>43985</v>
      </c>
      <c r="C62" s="1" t="n">
        <v>45640</v>
      </c>
      <c r="D62" t="inlineStr">
        <is>
          <t>HALLANDS LÄN</t>
        </is>
      </c>
      <c r="E62" t="inlineStr">
        <is>
          <t>KUNGSBACKA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28111-2020</t>
        </is>
      </c>
      <c r="B63" s="1" t="n">
        <v>43994</v>
      </c>
      <c r="C63" s="1" t="n">
        <v>45640</v>
      </c>
      <c r="D63" t="inlineStr">
        <is>
          <t>HALLANDS LÄN</t>
        </is>
      </c>
      <c r="E63" t="inlineStr">
        <is>
          <t>KUNGSBACKA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29629-2020</t>
        </is>
      </c>
      <c r="B64" s="1" t="n">
        <v>44005</v>
      </c>
      <c r="C64" s="1" t="n">
        <v>45640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31104-2020</t>
        </is>
      </c>
      <c r="B65" s="1" t="n">
        <v>44012</v>
      </c>
      <c r="C65" s="1" t="n">
        <v>45640</v>
      </c>
      <c r="D65" t="inlineStr">
        <is>
          <t>HALLANDS LÄN</t>
        </is>
      </c>
      <c r="E65" t="inlineStr">
        <is>
          <t>KUNGSBACKA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33528-2020</t>
        </is>
      </c>
      <c r="B66" s="1" t="n">
        <v>44025</v>
      </c>
      <c r="C66" s="1" t="n">
        <v>45640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34936-2020</t>
        </is>
      </c>
      <c r="B67" s="1" t="n">
        <v>44037</v>
      </c>
      <c r="C67" s="1" t="n">
        <v>45640</v>
      </c>
      <c r="D67" t="inlineStr">
        <is>
          <t>HALLANDS LÄN</t>
        </is>
      </c>
      <c r="E67" t="inlineStr">
        <is>
          <t>KUNGSBACKA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34964-2020</t>
        </is>
      </c>
      <c r="B68" s="1" t="n">
        <v>44039</v>
      </c>
      <c r="C68" s="1" t="n">
        <v>45640</v>
      </c>
      <c r="D68" t="inlineStr">
        <is>
          <t>HALLANDS LÄN</t>
        </is>
      </c>
      <c r="E68" t="inlineStr">
        <is>
          <t>KUNGSBACKA</t>
        </is>
      </c>
      <c r="F68" t="inlineStr">
        <is>
          <t>Sveaskog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35275-2020</t>
        </is>
      </c>
      <c r="B69" s="1" t="n">
        <v>44041</v>
      </c>
      <c r="C69" s="1" t="n">
        <v>45640</v>
      </c>
      <c r="D69" t="inlineStr">
        <is>
          <t>HALLANDS LÄN</t>
        </is>
      </c>
      <c r="E69" t="inlineStr">
        <is>
          <t>KUNGSBACKA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35667-2020</t>
        </is>
      </c>
      <c r="B70" s="1" t="n">
        <v>44046</v>
      </c>
      <c r="C70" s="1" t="n">
        <v>45640</v>
      </c>
      <c r="D70" t="inlineStr">
        <is>
          <t>HALLANDS LÄN</t>
        </is>
      </c>
      <c r="E70" t="inlineStr">
        <is>
          <t>KUNGSBACKA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51155-2020</t>
        </is>
      </c>
      <c r="B71" s="1" t="n">
        <v>44112</v>
      </c>
      <c r="C71" s="1" t="n">
        <v>45640</v>
      </c>
      <c r="D71" t="inlineStr">
        <is>
          <t>HALLANDS LÄN</t>
        </is>
      </c>
      <c r="E71" t="inlineStr">
        <is>
          <t>KUNGSBACKA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51198-2020</t>
        </is>
      </c>
      <c r="B72" s="1" t="n">
        <v>44112</v>
      </c>
      <c r="C72" s="1" t="n">
        <v>45640</v>
      </c>
      <c r="D72" t="inlineStr">
        <is>
          <t>HALLANDS LÄN</t>
        </is>
      </c>
      <c r="E72" t="inlineStr">
        <is>
          <t>KUNGSBACKA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52369-2020</t>
        </is>
      </c>
      <c r="B73" s="1" t="n">
        <v>44112</v>
      </c>
      <c r="C73" s="1" t="n">
        <v>45640</v>
      </c>
      <c r="D73" t="inlineStr">
        <is>
          <t>HALLANDS LÄN</t>
        </is>
      </c>
      <c r="E73" t="inlineStr">
        <is>
          <t>KUNGSBACKA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51417-2020</t>
        </is>
      </c>
      <c r="B74" s="1" t="n">
        <v>44113</v>
      </c>
      <c r="C74" s="1" t="n">
        <v>45640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52303-2020</t>
        </is>
      </c>
      <c r="B75" s="1" t="n">
        <v>44117</v>
      </c>
      <c r="C75" s="1" t="n">
        <v>45640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55049-2020</t>
        </is>
      </c>
      <c r="B76" s="1" t="n">
        <v>44130</v>
      </c>
      <c r="C76" s="1" t="n">
        <v>45640</v>
      </c>
      <c r="D76" t="inlineStr">
        <is>
          <t>HALLANDS LÄN</t>
        </is>
      </c>
      <c r="E76" t="inlineStr">
        <is>
          <t>KUNGSBACKA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56629-2020</t>
        </is>
      </c>
      <c r="B77" s="1" t="n">
        <v>44137</v>
      </c>
      <c r="C77" s="1" t="n">
        <v>45640</v>
      </c>
      <c r="D77" t="inlineStr">
        <is>
          <t>HALLANDS LÄN</t>
        </is>
      </c>
      <c r="E77" t="inlineStr">
        <is>
          <t>KUNGSBACKA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56959-2020</t>
        </is>
      </c>
      <c r="B78" s="1" t="n">
        <v>44138</v>
      </c>
      <c r="C78" s="1" t="n">
        <v>45640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60790-2020</t>
        </is>
      </c>
      <c r="B79" s="1" t="n">
        <v>44154</v>
      </c>
      <c r="C79" s="1" t="n">
        <v>45640</v>
      </c>
      <c r="D79" t="inlineStr">
        <is>
          <t>HALLANDS LÄN</t>
        </is>
      </c>
      <c r="E79" t="inlineStr">
        <is>
          <t>KUNGSBACKA</t>
        </is>
      </c>
      <c r="F79" t="inlineStr">
        <is>
          <t>Övriga Aktiebolag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62753-2020</t>
        </is>
      </c>
      <c r="B80" s="1" t="n">
        <v>44161</v>
      </c>
      <c r="C80" s="1" t="n">
        <v>45640</v>
      </c>
      <c r="D80" t="inlineStr">
        <is>
          <t>HALLANDS LÄN</t>
        </is>
      </c>
      <c r="E80" t="inlineStr">
        <is>
          <t>KUNGSBACKA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62944-2020</t>
        </is>
      </c>
      <c r="B81" s="1" t="n">
        <v>44162</v>
      </c>
      <c r="C81" s="1" t="n">
        <v>45640</v>
      </c>
      <c r="D81" t="inlineStr">
        <is>
          <t>HALLANDS LÄN</t>
        </is>
      </c>
      <c r="E81" t="inlineStr">
        <is>
          <t>KUNGSBACKA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66004-2020</t>
        </is>
      </c>
      <c r="B82" s="1" t="n">
        <v>44175</v>
      </c>
      <c r="C82" s="1" t="n">
        <v>45640</v>
      </c>
      <c r="D82" t="inlineStr">
        <is>
          <t>HALLANDS LÄN</t>
        </is>
      </c>
      <c r="E82" t="inlineStr">
        <is>
          <t>KUNGSBACKA</t>
        </is>
      </c>
      <c r="F82" t="inlineStr">
        <is>
          <t>Övriga Aktiebolag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68618-2020</t>
        </is>
      </c>
      <c r="B83" s="1" t="n">
        <v>44186</v>
      </c>
      <c r="C83" s="1" t="n">
        <v>45640</v>
      </c>
      <c r="D83" t="inlineStr">
        <is>
          <t>HALLANDS LÄN</t>
        </is>
      </c>
      <c r="E83" t="inlineStr">
        <is>
          <t>KUNGSBACKA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68617-2020</t>
        </is>
      </c>
      <c r="B84" s="1" t="n">
        <v>44186</v>
      </c>
      <c r="C84" s="1" t="n">
        <v>45640</v>
      </c>
      <c r="D84" t="inlineStr">
        <is>
          <t>HALLANDS LÄN</t>
        </is>
      </c>
      <c r="E84" t="inlineStr">
        <is>
          <t>KUNGSBACKA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68588-2020</t>
        </is>
      </c>
      <c r="B85" s="1" t="n">
        <v>44186</v>
      </c>
      <c r="C85" s="1" t="n">
        <v>45640</v>
      </c>
      <c r="D85" t="inlineStr">
        <is>
          <t>HALLANDS LÄN</t>
        </is>
      </c>
      <c r="E85" t="inlineStr">
        <is>
          <t>KUNGSBACKA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149-2021</t>
        </is>
      </c>
      <c r="B86" s="1" t="n">
        <v>44200</v>
      </c>
      <c r="C86" s="1" t="n">
        <v>45640</v>
      </c>
      <c r="D86" t="inlineStr">
        <is>
          <t>HALLANDS LÄN</t>
        </is>
      </c>
      <c r="E86" t="inlineStr">
        <is>
          <t>KUNGSBACKA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3355-2021</t>
        </is>
      </c>
      <c r="B87" s="1" t="n">
        <v>44217</v>
      </c>
      <c r="C87" s="1" t="n">
        <v>45640</v>
      </c>
      <c r="D87" t="inlineStr">
        <is>
          <t>HALLANDS LÄN</t>
        </is>
      </c>
      <c r="E87" t="inlineStr">
        <is>
          <t>KUNGSBACKA</t>
        </is>
      </c>
      <c r="G87" t="n">
        <v>17.6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4554-2021</t>
        </is>
      </c>
      <c r="B88" s="1" t="n">
        <v>44224</v>
      </c>
      <c r="C88" s="1" t="n">
        <v>45640</v>
      </c>
      <c r="D88" t="inlineStr">
        <is>
          <t>HALLANDS LÄN</t>
        </is>
      </c>
      <c r="E88" t="inlineStr">
        <is>
          <t>KUNGSBACKA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4862-2021</t>
        </is>
      </c>
      <c r="B89" s="1" t="n">
        <v>44225</v>
      </c>
      <c r="C89" s="1" t="n">
        <v>45640</v>
      </c>
      <c r="D89" t="inlineStr">
        <is>
          <t>HALLANDS LÄN</t>
        </is>
      </c>
      <c r="E89" t="inlineStr">
        <is>
          <t>KUNGSBACKA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8410-2021</t>
        </is>
      </c>
      <c r="B90" s="1" t="n">
        <v>44245</v>
      </c>
      <c r="C90" s="1" t="n">
        <v>45640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9282-2021</t>
        </is>
      </c>
      <c r="B91" s="1" t="n">
        <v>44250</v>
      </c>
      <c r="C91" s="1" t="n">
        <v>45640</v>
      </c>
      <c r="D91" t="inlineStr">
        <is>
          <t>HALLANDS LÄN</t>
        </is>
      </c>
      <c r="E91" t="inlineStr">
        <is>
          <t>KUNGSBACKA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9499-2021</t>
        </is>
      </c>
      <c r="B92" s="1" t="n">
        <v>44251</v>
      </c>
      <c r="C92" s="1" t="n">
        <v>45640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10346-2021</t>
        </is>
      </c>
      <c r="B93" s="1" t="n">
        <v>44257</v>
      </c>
      <c r="C93" s="1" t="n">
        <v>45640</v>
      </c>
      <c r="D93" t="inlineStr">
        <is>
          <t>HALLANDS LÄN</t>
        </is>
      </c>
      <c r="E93" t="inlineStr">
        <is>
          <t>KUNGSBACKA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13775-2021</t>
        </is>
      </c>
      <c r="B94" s="1" t="n">
        <v>44274</v>
      </c>
      <c r="C94" s="1" t="n">
        <v>45640</v>
      </c>
      <c r="D94" t="inlineStr">
        <is>
          <t>HALLANDS LÄN</t>
        </is>
      </c>
      <c r="E94" t="inlineStr">
        <is>
          <t>KUNGSBACKA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14361-2021</t>
        </is>
      </c>
      <c r="B95" s="1" t="n">
        <v>44279</v>
      </c>
      <c r="C95" s="1" t="n">
        <v>45640</v>
      </c>
      <c r="D95" t="inlineStr">
        <is>
          <t>HALLANDS LÄN</t>
        </is>
      </c>
      <c r="E95" t="inlineStr">
        <is>
          <t>KUNGSBACKA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14399-2021</t>
        </is>
      </c>
      <c r="B96" s="1" t="n">
        <v>44279</v>
      </c>
      <c r="C96" s="1" t="n">
        <v>45640</v>
      </c>
      <c r="D96" t="inlineStr">
        <is>
          <t>HALLANDS LÄN</t>
        </is>
      </c>
      <c r="E96" t="inlineStr">
        <is>
          <t>KUNGSBACKA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14374-2021</t>
        </is>
      </c>
      <c r="B97" s="1" t="n">
        <v>44279</v>
      </c>
      <c r="C97" s="1" t="n">
        <v>45640</v>
      </c>
      <c r="D97" t="inlineStr">
        <is>
          <t>HALLANDS LÄN</t>
        </is>
      </c>
      <c r="E97" t="inlineStr">
        <is>
          <t>KUNGSBACKA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14390-2021</t>
        </is>
      </c>
      <c r="B98" s="1" t="n">
        <v>44279</v>
      </c>
      <c r="C98" s="1" t="n">
        <v>45640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15632-2021</t>
        </is>
      </c>
      <c r="B99" s="1" t="n">
        <v>44285</v>
      </c>
      <c r="C99" s="1" t="n">
        <v>45640</v>
      </c>
      <c r="D99" t="inlineStr">
        <is>
          <t>HALLANDS LÄN</t>
        </is>
      </c>
      <c r="E99" t="inlineStr">
        <is>
          <t>KUNGSBACKA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15673-2021</t>
        </is>
      </c>
      <c r="B100" s="1" t="n">
        <v>44286</v>
      </c>
      <c r="C100" s="1" t="n">
        <v>45640</v>
      </c>
      <c r="D100" t="inlineStr">
        <is>
          <t>HALLANDS LÄN</t>
        </is>
      </c>
      <c r="E100" t="inlineStr">
        <is>
          <t>KUNGSBACKA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15686-2021</t>
        </is>
      </c>
      <c r="B101" s="1" t="n">
        <v>44286</v>
      </c>
      <c r="C101" s="1" t="n">
        <v>45640</v>
      </c>
      <c r="D101" t="inlineStr">
        <is>
          <t>HALLANDS LÄN</t>
        </is>
      </c>
      <c r="E101" t="inlineStr">
        <is>
          <t>KUNGSBACKA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17242-2021</t>
        </is>
      </c>
      <c r="B102" s="1" t="n">
        <v>44298</v>
      </c>
      <c r="C102" s="1" t="n">
        <v>45640</v>
      </c>
      <c r="D102" t="inlineStr">
        <is>
          <t>HALLANDS LÄN</t>
        </is>
      </c>
      <c r="E102" t="inlineStr">
        <is>
          <t>KUNGSBACKA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17243-2021</t>
        </is>
      </c>
      <c r="B103" s="1" t="n">
        <v>44298</v>
      </c>
      <c r="C103" s="1" t="n">
        <v>45640</v>
      </c>
      <c r="D103" t="inlineStr">
        <is>
          <t>HALLANDS LÄN</t>
        </is>
      </c>
      <c r="E103" t="inlineStr">
        <is>
          <t>KUNGSBACKA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19027-2021</t>
        </is>
      </c>
      <c r="B104" s="1" t="n">
        <v>44308</v>
      </c>
      <c r="C104" s="1" t="n">
        <v>45640</v>
      </c>
      <c r="D104" t="inlineStr">
        <is>
          <t>HALLANDS LÄN</t>
        </is>
      </c>
      <c r="E104" t="inlineStr">
        <is>
          <t>KUNGSBACKA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28118-2021</t>
        </is>
      </c>
      <c r="B105" s="1" t="n">
        <v>44355</v>
      </c>
      <c r="C105" s="1" t="n">
        <v>45640</v>
      </c>
      <c r="D105" t="inlineStr">
        <is>
          <t>HALLANDS LÄN</t>
        </is>
      </c>
      <c r="E105" t="inlineStr">
        <is>
          <t>KUNGSBACKA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30473-2021</t>
        </is>
      </c>
      <c r="B106" s="1" t="n">
        <v>44364</v>
      </c>
      <c r="C106" s="1" t="n">
        <v>45640</v>
      </c>
      <c r="D106" t="inlineStr">
        <is>
          <t>HALLANDS LÄN</t>
        </is>
      </c>
      <c r="E106" t="inlineStr">
        <is>
          <t>KUNGSBACKA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31246-2021</t>
        </is>
      </c>
      <c r="B107" s="1" t="n">
        <v>44368</v>
      </c>
      <c r="C107" s="1" t="n">
        <v>45640</v>
      </c>
      <c r="D107" t="inlineStr">
        <is>
          <t>HALLANDS LÄN</t>
        </is>
      </c>
      <c r="E107" t="inlineStr">
        <is>
          <t>KUNGSBACKA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33535-2021</t>
        </is>
      </c>
      <c r="B108" s="1" t="n">
        <v>44377</v>
      </c>
      <c r="C108" s="1" t="n">
        <v>45640</v>
      </c>
      <c r="D108" t="inlineStr">
        <is>
          <t>HALLANDS LÄN</t>
        </is>
      </c>
      <c r="E108" t="inlineStr">
        <is>
          <t>KUNGSBACKA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33715-2021</t>
        </is>
      </c>
      <c r="B109" s="1" t="n">
        <v>44378</v>
      </c>
      <c r="C109" s="1" t="n">
        <v>45640</v>
      </c>
      <c r="D109" t="inlineStr">
        <is>
          <t>HALLANDS LÄN</t>
        </is>
      </c>
      <c r="E109" t="inlineStr">
        <is>
          <t>KUNGSBACKA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34939-2021</t>
        </is>
      </c>
      <c r="B110" s="1" t="n">
        <v>44383</v>
      </c>
      <c r="C110" s="1" t="n">
        <v>45640</v>
      </c>
      <c r="D110" t="inlineStr">
        <is>
          <t>HALLANDS LÄN</t>
        </is>
      </c>
      <c r="E110" t="inlineStr">
        <is>
          <t>KUNGSBACKA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36358-2021</t>
        </is>
      </c>
      <c r="B111" s="1" t="n">
        <v>44390</v>
      </c>
      <c r="C111" s="1" t="n">
        <v>45640</v>
      </c>
      <c r="D111" t="inlineStr">
        <is>
          <t>HALLANDS LÄN</t>
        </is>
      </c>
      <c r="E111" t="inlineStr">
        <is>
          <t>KUNGSBACKA</t>
        </is>
      </c>
      <c r="F111" t="inlineStr">
        <is>
          <t>Kyrkan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36361-2021</t>
        </is>
      </c>
      <c r="B112" s="1" t="n">
        <v>44390</v>
      </c>
      <c r="C112" s="1" t="n">
        <v>45640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36364-2021</t>
        </is>
      </c>
      <c r="B113" s="1" t="n">
        <v>44390</v>
      </c>
      <c r="C113" s="1" t="n">
        <v>45640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36368-2021</t>
        </is>
      </c>
      <c r="B114" s="1" t="n">
        <v>44390</v>
      </c>
      <c r="C114" s="1" t="n">
        <v>45640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36366-2021</t>
        </is>
      </c>
      <c r="B115" s="1" t="n">
        <v>44390</v>
      </c>
      <c r="C115" s="1" t="n">
        <v>45640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36650-2021</t>
        </is>
      </c>
      <c r="B116" s="1" t="n">
        <v>44392</v>
      </c>
      <c r="C116" s="1" t="n">
        <v>45640</v>
      </c>
      <c r="D116" t="inlineStr">
        <is>
          <t>HALLANDS LÄN</t>
        </is>
      </c>
      <c r="E116" t="inlineStr">
        <is>
          <t>KUNGSBACKA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36984-2021</t>
        </is>
      </c>
      <c r="B117" s="1" t="n">
        <v>44393</v>
      </c>
      <c r="C117" s="1" t="n">
        <v>45640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39418-2021</t>
        </is>
      </c>
      <c r="B118" s="1" t="n">
        <v>44414</v>
      </c>
      <c r="C118" s="1" t="n">
        <v>45640</v>
      </c>
      <c r="D118" t="inlineStr">
        <is>
          <t>HALLANDS LÄN</t>
        </is>
      </c>
      <c r="E118" t="inlineStr">
        <is>
          <t>KUNGSBACKA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40024-2021</t>
        </is>
      </c>
      <c r="B119" s="1" t="n">
        <v>44418</v>
      </c>
      <c r="C119" s="1" t="n">
        <v>45640</v>
      </c>
      <c r="D119" t="inlineStr">
        <is>
          <t>HALLANDS LÄN</t>
        </is>
      </c>
      <c r="E119" t="inlineStr">
        <is>
          <t>KUNGSBACKA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41766-2021</t>
        </is>
      </c>
      <c r="B120" s="1" t="n">
        <v>44425</v>
      </c>
      <c r="C120" s="1" t="n">
        <v>45640</v>
      </c>
      <c r="D120" t="inlineStr">
        <is>
          <t>HALLANDS LÄN</t>
        </is>
      </c>
      <c r="E120" t="inlineStr">
        <is>
          <t>KUNGSBACKA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41769-2021</t>
        </is>
      </c>
      <c r="B121" s="1" t="n">
        <v>44425</v>
      </c>
      <c r="C121" s="1" t="n">
        <v>45640</v>
      </c>
      <c r="D121" t="inlineStr">
        <is>
          <t>HALLANDS LÄN</t>
        </is>
      </c>
      <c r="E121" t="inlineStr">
        <is>
          <t>KUNGSBACKA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42377-2021</t>
        </is>
      </c>
      <c r="B122" s="1" t="n">
        <v>44427</v>
      </c>
      <c r="C122" s="1" t="n">
        <v>45640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49906-2021</t>
        </is>
      </c>
      <c r="B123" s="1" t="n">
        <v>44455</v>
      </c>
      <c r="C123" s="1" t="n">
        <v>45640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51059-2021</t>
        </is>
      </c>
      <c r="B124" s="1" t="n">
        <v>44461</v>
      </c>
      <c r="C124" s="1" t="n">
        <v>45640</v>
      </c>
      <c r="D124" t="inlineStr">
        <is>
          <t>HALLANDS LÄN</t>
        </is>
      </c>
      <c r="E124" t="inlineStr">
        <is>
          <t>KUNGSBACKA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51535-2021</t>
        </is>
      </c>
      <c r="B125" s="1" t="n">
        <v>44462</v>
      </c>
      <c r="C125" s="1" t="n">
        <v>45640</v>
      </c>
      <c r="D125" t="inlineStr">
        <is>
          <t>HALLANDS LÄN</t>
        </is>
      </c>
      <c r="E125" t="inlineStr">
        <is>
          <t>KUNGSBACKA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53051-2021</t>
        </is>
      </c>
      <c r="B126" s="1" t="n">
        <v>44467</v>
      </c>
      <c r="C126" s="1" t="n">
        <v>45640</v>
      </c>
      <c r="D126" t="inlineStr">
        <is>
          <t>HALLANDS LÄN</t>
        </is>
      </c>
      <c r="E126" t="inlineStr">
        <is>
          <t>KUNGSBACKA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52909-2021</t>
        </is>
      </c>
      <c r="B127" s="1" t="n">
        <v>44467</v>
      </c>
      <c r="C127" s="1" t="n">
        <v>45640</v>
      </c>
      <c r="D127" t="inlineStr">
        <is>
          <t>HALLANDS LÄN</t>
        </is>
      </c>
      <c r="E127" t="inlineStr">
        <is>
          <t>KUNGSBACKA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53378-2021</t>
        </is>
      </c>
      <c r="B128" s="1" t="n">
        <v>44468</v>
      </c>
      <c r="C128" s="1" t="n">
        <v>45640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53380-2021</t>
        </is>
      </c>
      <c r="B129" s="1" t="n">
        <v>44468</v>
      </c>
      <c r="C129" s="1" t="n">
        <v>45640</v>
      </c>
      <c r="D129" t="inlineStr">
        <is>
          <t>HALLANDS LÄN</t>
        </is>
      </c>
      <c r="E129" t="inlineStr">
        <is>
          <t>KUNGSBACKA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55477-2021</t>
        </is>
      </c>
      <c r="B130" s="1" t="n">
        <v>44475</v>
      </c>
      <c r="C130" s="1" t="n">
        <v>45640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57034-2021</t>
        </is>
      </c>
      <c r="B131" s="1" t="n">
        <v>44482</v>
      </c>
      <c r="C131" s="1" t="n">
        <v>45640</v>
      </c>
      <c r="D131" t="inlineStr">
        <is>
          <t>HALLANDS LÄN</t>
        </is>
      </c>
      <c r="E131" t="inlineStr">
        <is>
          <t>KUNGSBACKA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58118-2021</t>
        </is>
      </c>
      <c r="B132" s="1" t="n">
        <v>44487</v>
      </c>
      <c r="C132" s="1" t="n">
        <v>45640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58678-2021</t>
        </is>
      </c>
      <c r="B133" s="1" t="n">
        <v>44489</v>
      </c>
      <c r="C133" s="1" t="n">
        <v>45640</v>
      </c>
      <c r="D133" t="inlineStr">
        <is>
          <t>HALLANDS LÄN</t>
        </is>
      </c>
      <c r="E133" t="inlineStr">
        <is>
          <t>KUNGSBACKA</t>
        </is>
      </c>
      <c r="F133" t="inlineStr">
        <is>
          <t>Sveaskog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62158-2021</t>
        </is>
      </c>
      <c r="B134" s="1" t="n">
        <v>44502</v>
      </c>
      <c r="C134" s="1" t="n">
        <v>45640</v>
      </c>
      <c r="D134" t="inlineStr">
        <is>
          <t>HALLANDS LÄN</t>
        </is>
      </c>
      <c r="E134" t="inlineStr">
        <is>
          <t>KUNGSBACKA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62156-2021</t>
        </is>
      </c>
      <c r="B135" s="1" t="n">
        <v>44502</v>
      </c>
      <c r="C135" s="1" t="n">
        <v>45640</v>
      </c>
      <c r="D135" t="inlineStr">
        <is>
          <t>HALLANDS LÄN</t>
        </is>
      </c>
      <c r="E135" t="inlineStr">
        <is>
          <t>KUNGSBACKA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63966-2021</t>
        </is>
      </c>
      <c r="B136" s="1" t="n">
        <v>44509</v>
      </c>
      <c r="C136" s="1" t="n">
        <v>45640</v>
      </c>
      <c r="D136" t="inlineStr">
        <is>
          <t>HALLANDS LÄN</t>
        </is>
      </c>
      <c r="E136" t="inlineStr">
        <is>
          <t>KUNGSBACKA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64129-2021</t>
        </is>
      </c>
      <c r="B137" s="1" t="n">
        <v>44510</v>
      </c>
      <c r="C137" s="1" t="n">
        <v>45640</v>
      </c>
      <c r="D137" t="inlineStr">
        <is>
          <t>HALLANDS LÄN</t>
        </is>
      </c>
      <c r="E137" t="inlineStr">
        <is>
          <t>KUNGSBACKA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70634-2021</t>
        </is>
      </c>
      <c r="B138" s="1" t="n">
        <v>44537</v>
      </c>
      <c r="C138" s="1" t="n">
        <v>45640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70904-2021</t>
        </is>
      </c>
      <c r="B139" s="1" t="n">
        <v>44538</v>
      </c>
      <c r="C139" s="1" t="n">
        <v>45640</v>
      </c>
      <c r="D139" t="inlineStr">
        <is>
          <t>HALLANDS LÄN</t>
        </is>
      </c>
      <c r="E139" t="inlineStr">
        <is>
          <t>KUNGSBACKA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71676-2021</t>
        </is>
      </c>
      <c r="B140" s="1" t="n">
        <v>44539</v>
      </c>
      <c r="C140" s="1" t="n">
        <v>45640</v>
      </c>
      <c r="D140" t="inlineStr">
        <is>
          <t>HALLANDS LÄN</t>
        </is>
      </c>
      <c r="E140" t="inlineStr">
        <is>
          <t>KUNGSBACKA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71687-2021</t>
        </is>
      </c>
      <c r="B141" s="1" t="n">
        <v>44539</v>
      </c>
      <c r="C141" s="1" t="n">
        <v>45640</v>
      </c>
      <c r="D141" t="inlineStr">
        <is>
          <t>HALLANDS LÄN</t>
        </is>
      </c>
      <c r="E141" t="inlineStr">
        <is>
          <t>KUNGSBACKA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71891-2021</t>
        </is>
      </c>
      <c r="B142" s="1" t="n">
        <v>44543</v>
      </c>
      <c r="C142" s="1" t="n">
        <v>45640</v>
      </c>
      <c r="D142" t="inlineStr">
        <is>
          <t>HALLANDS LÄN</t>
        </is>
      </c>
      <c r="E142" t="inlineStr">
        <is>
          <t>KUNGSBACKA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2281-2022</t>
        </is>
      </c>
      <c r="B143" s="1" t="n">
        <v>44578</v>
      </c>
      <c r="C143" s="1" t="n">
        <v>45640</v>
      </c>
      <c r="D143" t="inlineStr">
        <is>
          <t>HALLANDS LÄN</t>
        </is>
      </c>
      <c r="E143" t="inlineStr">
        <is>
          <t>KUNGSBACKA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4979-2022</t>
        </is>
      </c>
      <c r="B144" s="1" t="n">
        <v>44593</v>
      </c>
      <c r="C144" s="1" t="n">
        <v>45640</v>
      </c>
      <c r="D144" t="inlineStr">
        <is>
          <t>HALLANDS LÄN</t>
        </is>
      </c>
      <c r="E144" t="inlineStr">
        <is>
          <t>KUNGSBACKA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6260-2022</t>
        </is>
      </c>
      <c r="B145" s="1" t="n">
        <v>44600</v>
      </c>
      <c r="C145" s="1" t="n">
        <v>45640</v>
      </c>
      <c r="D145" t="inlineStr">
        <is>
          <t>HALLANDS LÄN</t>
        </is>
      </c>
      <c r="E145" t="inlineStr">
        <is>
          <t>KUNGSBACKA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6504-2022</t>
        </is>
      </c>
      <c r="B146" s="1" t="n">
        <v>44601</v>
      </c>
      <c r="C146" s="1" t="n">
        <v>45640</v>
      </c>
      <c r="D146" t="inlineStr">
        <is>
          <t>HALLANDS LÄN</t>
        </is>
      </c>
      <c r="E146" t="inlineStr">
        <is>
          <t>KUNGSBACKA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8640-2022</t>
        </is>
      </c>
      <c r="B147" s="1" t="n">
        <v>44613</v>
      </c>
      <c r="C147" s="1" t="n">
        <v>45640</v>
      </c>
      <c r="D147" t="inlineStr">
        <is>
          <t>HALLANDS LÄN</t>
        </is>
      </c>
      <c r="E147" t="inlineStr">
        <is>
          <t>KUNGSBACKA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8677-2022</t>
        </is>
      </c>
      <c r="B148" s="1" t="n">
        <v>44613</v>
      </c>
      <c r="C148" s="1" t="n">
        <v>45640</v>
      </c>
      <c r="D148" t="inlineStr">
        <is>
          <t>HALLANDS LÄN</t>
        </is>
      </c>
      <c r="E148" t="inlineStr">
        <is>
          <t>KUNGSBACKA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9507-2022</t>
        </is>
      </c>
      <c r="B149" s="1" t="n">
        <v>44617</v>
      </c>
      <c r="C149" s="1" t="n">
        <v>45640</v>
      </c>
      <c r="D149" t="inlineStr">
        <is>
          <t>HALLANDS LÄN</t>
        </is>
      </c>
      <c r="E149" t="inlineStr">
        <is>
          <t>KUNGSBACKA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11154-2022</t>
        </is>
      </c>
      <c r="B150" s="1" t="n">
        <v>44629</v>
      </c>
      <c r="C150" s="1" t="n">
        <v>45640</v>
      </c>
      <c r="D150" t="inlineStr">
        <is>
          <t>HALLANDS LÄN</t>
        </is>
      </c>
      <c r="E150" t="inlineStr">
        <is>
          <t>KUNGSBACKA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13373-2022</t>
        </is>
      </c>
      <c r="B151" s="1" t="n">
        <v>44645</v>
      </c>
      <c r="C151" s="1" t="n">
        <v>45640</v>
      </c>
      <c r="D151" t="inlineStr">
        <is>
          <t>HALLANDS LÄN</t>
        </is>
      </c>
      <c r="E151" t="inlineStr">
        <is>
          <t>KUNGSBACKA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13434-2022</t>
        </is>
      </c>
      <c r="B152" s="1" t="n">
        <v>44645</v>
      </c>
      <c r="C152" s="1" t="n">
        <v>45640</v>
      </c>
      <c r="D152" t="inlineStr">
        <is>
          <t>HALLANDS LÄN</t>
        </is>
      </c>
      <c r="E152" t="inlineStr">
        <is>
          <t>KUNGSBACKA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45640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45640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45640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45640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45640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45640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45640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45640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45640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45640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45640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45640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45640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45640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45640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45640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45640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45640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45640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45640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45640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45640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45640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45640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45640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45640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45640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45640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45640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45640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45640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45640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45640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45640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45640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45640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45640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45640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45640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45640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45640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45640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45640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45640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45640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45640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45640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45640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45640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45640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45640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45640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45640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45640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45640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45640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45640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45640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45640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45640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45640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45640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45640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45640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45640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45640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45640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45640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45640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45640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45640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45640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45640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45640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45640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45640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45640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45640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45640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45640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45640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45640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45640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45640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45640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45640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45640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45640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45640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45640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45640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45640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45640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45640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45640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45640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45640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45640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45640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45640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45640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45640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45640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45640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45640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45640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45640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45640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45640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45640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45640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45640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45640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45640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45640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45640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45640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45640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45640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45640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45640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45640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45640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45640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45640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45640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45640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45640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45640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45640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45640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45640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45640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45640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45640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45640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45640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45640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45640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45640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45640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45640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45640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45640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45640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45640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45640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45640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45640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45640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45640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45640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45640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45640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45640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45640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45640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45640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45640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45640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45640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45640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45640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45640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45640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45640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45640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45640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45640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45640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45640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45640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45640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45640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45640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45640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45640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45640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45640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45640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45640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45640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45640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45640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45640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45640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45640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45640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45640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45640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45640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45640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45640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45640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45640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45640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45640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45640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45640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45640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45640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45640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45640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45640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45640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45640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45640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45640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45640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45640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45640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45640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45640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45640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45640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45640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45640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45640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45640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45640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45640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45640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45640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45640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45640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45640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45640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45640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45640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45640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45640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45640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45640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45640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45640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45640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45640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45640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45640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45640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45640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45640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45640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45284-2024</t>
        </is>
      </c>
      <c r="B396" s="1" t="n">
        <v>45576</v>
      </c>
      <c r="C396" s="1" t="n">
        <v>45640</v>
      </c>
      <c r="D396" t="inlineStr">
        <is>
          <t>HALLANDS LÄN</t>
        </is>
      </c>
      <c r="E396" t="inlineStr">
        <is>
          <t>KUNGSBACKA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45281-2024</t>
        </is>
      </c>
      <c r="B397" s="1" t="n">
        <v>45576</v>
      </c>
      <c r="C397" s="1" t="n">
        <v>45640</v>
      </c>
      <c r="D397" t="inlineStr">
        <is>
          <t>HALLANDS LÄN</t>
        </is>
      </c>
      <c r="E397" t="inlineStr">
        <is>
          <t>KUNGSBACKA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46251-2024</t>
        </is>
      </c>
      <c r="B398" s="1" t="n">
        <v>45581</v>
      </c>
      <c r="C398" s="1" t="n">
        <v>45640</v>
      </c>
      <c r="D398" t="inlineStr">
        <is>
          <t>HALLANDS LÄN</t>
        </is>
      </c>
      <c r="E398" t="inlineStr">
        <is>
          <t>KUNGSBACKA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46263-2024</t>
        </is>
      </c>
      <c r="B399" s="1" t="n">
        <v>45581</v>
      </c>
      <c r="C399" s="1" t="n">
        <v>45640</v>
      </c>
      <c r="D399" t="inlineStr">
        <is>
          <t>HALLANDS LÄN</t>
        </is>
      </c>
      <c r="E399" t="inlineStr">
        <is>
          <t>KUNGSBACKA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47321-2024</t>
        </is>
      </c>
      <c r="B400" s="1" t="n">
        <v>45587</v>
      </c>
      <c r="C400" s="1" t="n">
        <v>45640</v>
      </c>
      <c r="D400" t="inlineStr">
        <is>
          <t>HALLANDS LÄN</t>
        </is>
      </c>
      <c r="E400" t="inlineStr">
        <is>
          <t>KUNGSBACKA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49489-2024</t>
        </is>
      </c>
      <c r="B401" s="1" t="n">
        <v>45596</v>
      </c>
      <c r="C401" s="1" t="n">
        <v>45640</v>
      </c>
      <c r="D401" t="inlineStr">
        <is>
          <t>HALLANDS LÄN</t>
        </is>
      </c>
      <c r="E401" t="inlineStr">
        <is>
          <t>KUNGSBACKA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49492-2024</t>
        </is>
      </c>
      <c r="B402" s="1" t="n">
        <v>45596</v>
      </c>
      <c r="C402" s="1" t="n">
        <v>45640</v>
      </c>
      <c r="D402" t="inlineStr">
        <is>
          <t>HALLANDS LÄN</t>
        </is>
      </c>
      <c r="E402" t="inlineStr">
        <is>
          <t>KUNGSBACKA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49505-2024</t>
        </is>
      </c>
      <c r="B403" s="1" t="n">
        <v>45596</v>
      </c>
      <c r="C403" s="1" t="n">
        <v>45640</v>
      </c>
      <c r="D403" t="inlineStr">
        <is>
          <t>HALLANDS LÄN</t>
        </is>
      </c>
      <c r="E403" t="inlineStr">
        <is>
          <t>KUNGSBACKA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49486-2024</t>
        </is>
      </c>
      <c r="B404" s="1" t="n">
        <v>45596</v>
      </c>
      <c r="C404" s="1" t="n">
        <v>45640</v>
      </c>
      <c r="D404" t="inlineStr">
        <is>
          <t>HALLANDS LÄN</t>
        </is>
      </c>
      <c r="E404" t="inlineStr">
        <is>
          <t>KUNGSBACKA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50957-2024</t>
        </is>
      </c>
      <c r="B405" s="1" t="n">
        <v>45603</v>
      </c>
      <c r="C405" s="1" t="n">
        <v>45640</v>
      </c>
      <c r="D405" t="inlineStr">
        <is>
          <t>HALLANDS LÄN</t>
        </is>
      </c>
      <c r="E405" t="inlineStr">
        <is>
          <t>KUNGSBACKA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51457-2024</t>
        </is>
      </c>
      <c r="B406" s="1" t="n">
        <v>45604</v>
      </c>
      <c r="C406" s="1" t="n">
        <v>45640</v>
      </c>
      <c r="D406" t="inlineStr">
        <is>
          <t>HALLANDS LÄN</t>
        </is>
      </c>
      <c r="E406" t="inlineStr">
        <is>
          <t>KUNGSBACKA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51465-2024</t>
        </is>
      </c>
      <c r="B407" s="1" t="n">
        <v>45604</v>
      </c>
      <c r="C407" s="1" t="n">
        <v>45640</v>
      </c>
      <c r="D407" t="inlineStr">
        <is>
          <t>HALLANDS LÄN</t>
        </is>
      </c>
      <c r="E407" t="inlineStr">
        <is>
          <t>KUNGSBACKA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51451-2024</t>
        </is>
      </c>
      <c r="B408" s="1" t="n">
        <v>45604</v>
      </c>
      <c r="C408" s="1" t="n">
        <v>45640</v>
      </c>
      <c r="D408" t="inlineStr">
        <is>
          <t>HALLANDS LÄN</t>
        </is>
      </c>
      <c r="E408" t="inlineStr">
        <is>
          <t>KUNGSBACKA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51978-2024</t>
        </is>
      </c>
      <c r="B409" s="1" t="n">
        <v>45607</v>
      </c>
      <c r="C409" s="1" t="n">
        <v>45640</v>
      </c>
      <c r="D409" t="inlineStr">
        <is>
          <t>HALLANDS LÄN</t>
        </is>
      </c>
      <c r="E409" t="inlineStr">
        <is>
          <t>KUNGSBACKA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53195-2024</t>
        </is>
      </c>
      <c r="B410" s="1" t="n">
        <v>45610</v>
      </c>
      <c r="C410" s="1" t="n">
        <v>45640</v>
      </c>
      <c r="D410" t="inlineStr">
        <is>
          <t>HALLANDS LÄN</t>
        </is>
      </c>
      <c r="E410" t="inlineStr">
        <is>
          <t>KUNGSBACKA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53194-2024</t>
        </is>
      </c>
      <c r="B411" s="1" t="n">
        <v>45610</v>
      </c>
      <c r="C411" s="1" t="n">
        <v>45640</v>
      </c>
      <c r="D411" t="inlineStr">
        <is>
          <t>HALLANDS LÄN</t>
        </is>
      </c>
      <c r="E411" t="inlineStr">
        <is>
          <t>KUNGSBACKA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53972-2024</t>
        </is>
      </c>
      <c r="B412" s="1" t="n">
        <v>45616</v>
      </c>
      <c r="C412" s="1" t="n">
        <v>45640</v>
      </c>
      <c r="D412" t="inlineStr">
        <is>
          <t>HALLANDS LÄN</t>
        </is>
      </c>
      <c r="E412" t="inlineStr">
        <is>
          <t>KUNGSBACKA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54319-2024</t>
        </is>
      </c>
      <c r="B413" s="1" t="n">
        <v>45617</v>
      </c>
      <c r="C413" s="1" t="n">
        <v>45640</v>
      </c>
      <c r="D413" t="inlineStr">
        <is>
          <t>HALLANDS LÄN</t>
        </is>
      </c>
      <c r="E413" t="inlineStr">
        <is>
          <t>KUNGSBACKA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57812-2024</t>
        </is>
      </c>
      <c r="B414" s="1" t="n">
        <v>45631</v>
      </c>
      <c r="C414" s="1" t="n">
        <v>45640</v>
      </c>
      <c r="D414" t="inlineStr">
        <is>
          <t>HALLANDS LÄN</t>
        </is>
      </c>
      <c r="E414" t="inlineStr">
        <is>
          <t>KUNGSBACKA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58324-2024</t>
        </is>
      </c>
      <c r="B415" s="1" t="n">
        <v>45632</v>
      </c>
      <c r="C415" s="1" t="n">
        <v>45640</v>
      </c>
      <c r="D415" t="inlineStr">
        <is>
          <t>HALLANDS LÄN</t>
        </is>
      </c>
      <c r="E415" t="inlineStr">
        <is>
          <t>KUNGSBACKA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58330-2024</t>
        </is>
      </c>
      <c r="B416" s="1" t="n">
        <v>45632</v>
      </c>
      <c r="C416" s="1" t="n">
        <v>45640</v>
      </c>
      <c r="D416" t="inlineStr">
        <is>
          <t>HALLANDS LÄN</t>
        </is>
      </c>
      <c r="E416" t="inlineStr">
        <is>
          <t>KUNGSBACKA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58327-2024</t>
        </is>
      </c>
      <c r="B417" s="1" t="n">
        <v>45632</v>
      </c>
      <c r="C417" s="1" t="n">
        <v>45640</v>
      </c>
      <c r="D417" t="inlineStr">
        <is>
          <t>HALLANDS LÄN</t>
        </is>
      </c>
      <c r="E417" t="inlineStr">
        <is>
          <t>KUNGSBACKA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58381-2024</t>
        </is>
      </c>
      <c r="B418" s="1" t="n">
        <v>45632</v>
      </c>
      <c r="C418" s="1" t="n">
        <v>45640</v>
      </c>
      <c r="D418" t="inlineStr">
        <is>
          <t>HALLANDS LÄN</t>
        </is>
      </c>
      <c r="E418" t="inlineStr">
        <is>
          <t>KUNGSBACKA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58779-2024</t>
        </is>
      </c>
      <c r="B419" s="1" t="n">
        <v>45635</v>
      </c>
      <c r="C419" s="1" t="n">
        <v>45640</v>
      </c>
      <c r="D419" t="inlineStr">
        <is>
          <t>HALLANDS LÄN</t>
        </is>
      </c>
      <c r="E419" t="inlineStr">
        <is>
          <t>KUNGSBACKA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58890-2024</t>
        </is>
      </c>
      <c r="B420" s="1" t="n">
        <v>45636</v>
      </c>
      <c r="C420" s="1" t="n">
        <v>45640</v>
      </c>
      <c r="D420" t="inlineStr">
        <is>
          <t>HALLANDS LÄN</t>
        </is>
      </c>
      <c r="E420" t="inlineStr">
        <is>
          <t>KUNGSBACKA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59304-2024</t>
        </is>
      </c>
      <c r="B421" s="1" t="n">
        <v>45637</v>
      </c>
      <c r="C421" s="1" t="n">
        <v>45640</v>
      </c>
      <c r="D421" t="inlineStr">
        <is>
          <t>HALLANDS LÄN</t>
        </is>
      </c>
      <c r="E421" t="inlineStr">
        <is>
          <t>KUNGSBACKA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59623-2024</t>
        </is>
      </c>
      <c r="B422" s="1" t="n">
        <v>45638</v>
      </c>
      <c r="C422" s="1" t="n">
        <v>45640</v>
      </c>
      <c r="D422" t="inlineStr">
        <is>
          <t>HALLANDS LÄN</t>
        </is>
      </c>
      <c r="E422" t="inlineStr">
        <is>
          <t>KUNGSBACKA</t>
        </is>
      </c>
      <c r="G422" t="n">
        <v>19.2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59696-2024</t>
        </is>
      </c>
      <c r="B423" s="1" t="n">
        <v>45639</v>
      </c>
      <c r="C423" s="1" t="n">
        <v>45640</v>
      </c>
      <c r="D423" t="inlineStr">
        <is>
          <t>HALLANDS LÄN</t>
        </is>
      </c>
      <c r="E423" t="inlineStr">
        <is>
          <t>KUNGSBACKA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>
      <c r="A424" t="inlineStr">
        <is>
          <t>A 59726-2024</t>
        </is>
      </c>
      <c r="B424" s="1" t="n">
        <v>45639</v>
      </c>
      <c r="C424" s="1" t="n">
        <v>45640</v>
      </c>
      <c r="D424" t="inlineStr">
        <is>
          <t>HALLANDS LÄN</t>
        </is>
      </c>
      <c r="E424" t="inlineStr">
        <is>
          <t>KUNGSBACKA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2024-12-14T15:53:46Z</dcterms:created>
  <dcterms:modified xmlns:dcterms="http://purl.org/dc/terms/" xmlns:xsi="http://www.w3.org/2001/XMLSchema-instance" xsi:type="dcterms:W3CDTF">2024-12-14T15:53:46Z</dcterms:modified>
</cp:coreProperties>
</file>