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46229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46229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46229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46229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46229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46229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46229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46229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46229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46229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46229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46229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46229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46229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HYPERLINK("https://klasma.github.io/Logging_1384/artfynd/A 9548-2024 artfynd.xlsx", "A 9548-2024")</f>
        <v/>
      </c>
      <c r="X17">
        <f>HYPERLINK("https://klasma.github.io/Logging_1384/kartor/A 9548-2024 karta.png", "A 9548-2024")</f>
        <v/>
      </c>
      <c r="Y17">
        <f>HYPERLINK("https://klasma.github.io/Logging_1384/kartor_geotiff/A 9548-2024 georefererad karta.tif", "A 9548-2024")</f>
        <v/>
      </c>
      <c r="AA17">
        <f>HYPERLINK("https://klasma.github.io/Logging_1384/klagomål/A 9548-2024 FSC-klagomål.docx", "A 9548-2024")</f>
        <v/>
      </c>
      <c r="AB17">
        <f>HYPERLINK("https://klasma.github.io/Logging_1384/klagomålsmail/A 9548-2024 FSC-klagomål mail.docx", "A 9548-2024")</f>
        <v/>
      </c>
      <c r="AC17">
        <f>HYPERLINK("https://klasma.github.io/Logging_1384/tillsyn/A 9548-2024 tillsynsbegäran.docx", "A 9548-2024")</f>
        <v/>
      </c>
      <c r="AD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46229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Duvhök</t>
        </is>
      </c>
      <c r="W18">
        <f>HYPERLINK("https://klasma.github.io/Logging_1384/artfynd/A 40024-2021 artfynd.xlsx", "A 40024-2021")</f>
        <v/>
      </c>
      <c r="X18">
        <f>HYPERLINK("https://klasma.github.io/Logging_1384/kartor/A 40024-2021 karta.png", "A 40024-2021")</f>
        <v/>
      </c>
      <c r="Y18">
        <f>HYPERLINK("https://klasma.github.io/Logging_1384/kartor_geotiff/A 40024-2021 georefererad karta.tif", "A 40024-2021")</f>
        <v/>
      </c>
      <c r="AA18">
        <f>HYPERLINK("https://klasma.github.io/Logging_1384/klagomål/A 40024-2021 FSC-klagomål.docx", "A 40024-2021")</f>
        <v/>
      </c>
      <c r="AB18">
        <f>HYPERLINK("https://klasma.github.io/Logging_1384/klagomålsmail/A 40024-2021 FSC-klagomål mail.docx", "A 40024-2021")</f>
        <v/>
      </c>
      <c r="AC18">
        <f>HYPERLINK("https://klasma.github.io/Logging_1384/tillsyn/A 40024-2021 tillsynsbegäran.docx", "A 40024-2021")</f>
        <v/>
      </c>
      <c r="AD18">
        <f>HYPERLINK("https://klasma.github.io/Logging_1384/tillsynsmail/A 40024-2021 tillsynsbegäran mail.docx", "A 40024-2021")</f>
        <v/>
      </c>
      <c r="AE18">
        <f>HYPERLINK("https://klasma.github.io/Logging_1384/fåglar/A 40024-2021 prioriterade fågelarter.docx", "A 40024-2021")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46229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46229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46229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11010-2025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45723</v>
      </c>
      <c r="E22" s="1" t="n">
        <v>46229</v>
      </c>
      <c r="F22" t="inlineStr">
        <is>
          <t>HALLANDS LÄN</t>
        </is>
      </c>
      <c r="G22" t="inlineStr">
        <is>
          <t>KUNGSBACKA</t>
        </is>
      </c>
      <c r="I22" t="n">
        <v>12.4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11010-2025 artfynd.xlsx", "A 11010-2025")</f>
        <v/>
      </c>
      <c r="X22">
        <f>HYPERLINK("https://klasma.github.io/Logging_1384/kartor/A 11010-2025 karta.png", "A 11010-2025")</f>
        <v/>
      </c>
      <c r="Y22">
        <f>HYPERLINK("https://klasma.github.io/Logging_1384/kartor_geotiff/A 11010-2025 georefererad karta.tif", "A 11010-2025")</f>
        <v/>
      </c>
      <c r="AA22">
        <f>HYPERLINK("https://klasma.github.io/Logging_1384/klagomål/A 11010-2025 FSC-klagomål.docx", "A 11010-2025")</f>
        <v/>
      </c>
      <c r="AB22">
        <f>HYPERLINK("https://klasma.github.io/Logging_1384/klagomålsmail/A 11010-2025 FSC-klagomål mail.docx", "A 11010-2025")</f>
        <v/>
      </c>
      <c r="AC22">
        <f>HYPERLINK("https://klasma.github.io/Logging_1384/tillsyn/A 11010-2025 tillsynsbegäran.docx", "A 11010-2025")</f>
        <v/>
      </c>
      <c r="AD22">
        <f>HYPERLINK("https://klasma.github.io/Logging_1384/tillsynsmail/A 11010-2025 tillsynsbegäran mail.docx", "A 11010-2025")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46229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46229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46229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16076-2025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45749</v>
      </c>
      <c r="E26" s="1" t="n">
        <v>46229</v>
      </c>
      <c r="F26" t="inlineStr">
        <is>
          <t>HALLANDS LÄN</t>
        </is>
      </c>
      <c r="G26" t="inlineStr">
        <is>
          <t>KUNGSBACKA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HYPERLINK("https://klasma.github.io/Logging_1384/artfynd/A 16076-2025 artfynd.xlsx", "A 16076-2025")</f>
        <v/>
      </c>
      <c r="X26">
        <f>HYPERLINK("https://klasma.github.io/Logging_1384/kartor/A 16076-2025 karta.png", "A 16076-2025")</f>
        <v/>
      </c>
      <c r="Y26">
        <f>HYPERLINK("https://klasma.github.io/Logging_1384/kartor_geotiff/A 16076-2025 georefererad karta.tif", "A 16076-2025")</f>
        <v/>
      </c>
      <c r="AA26">
        <f>HYPERLINK("https://klasma.github.io/Logging_1384/klagomål/A 16076-2025 FSC-klagomål.docx", "A 16076-2025")</f>
        <v/>
      </c>
      <c r="AB26">
        <f>HYPERLINK("https://klasma.github.io/Logging_1384/klagomålsmail/A 16076-2025 FSC-klagomål mail.docx", "A 16076-2025")</f>
        <v/>
      </c>
      <c r="AC26">
        <f>HYPERLINK("https://klasma.github.io/Logging_1384/tillsyn/A 16076-2025 tillsynsbegäran.docx", "A 16076-2025")</f>
        <v/>
      </c>
      <c r="AD26">
        <f>HYPERLINK("https://klasma.github.io/Logging_1384/tillsynsmail/A 16076-2025 tillsynsbegäran mail.docx", "A 16076-2025")</f>
        <v/>
      </c>
      <c r="AE26">
        <f>HYPERLINK("https://klasma.github.io/Logging_1384/fåglar/A 16076-2025 prioriterade fågelarter.docx", "A 16076-2025")</f>
        <v/>
      </c>
    </row>
    <row r="27" ht="15" customHeight="1">
      <c r="A27" t="inlineStr">
        <is>
          <t>A 13932-2025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46229</v>
      </c>
      <c r="F27" t="inlineStr">
        <is>
          <t>HALLANDS LÄN</t>
        </is>
      </c>
      <c r="G27" t="inlineStr">
        <is>
          <t>KUNGSBACKA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HYPERLINK("https://klasma.github.io/Logging_1384/artfynd/A 13932-2025 artfynd.xlsx", "A 13932-2025")</f>
        <v/>
      </c>
      <c r="X27">
        <f>HYPERLINK("https://klasma.github.io/Logging_1384/kartor/A 13932-2025 karta.png", "A 13932-2025")</f>
        <v/>
      </c>
      <c r="Y27">
        <f>HYPERLINK("https://klasma.github.io/Logging_1384/kartor_geotiff/A 13932-2025 georefererad karta.tif", "A 13932-2025")</f>
        <v/>
      </c>
      <c r="AA27">
        <f>HYPERLINK("https://klasma.github.io/Logging_1384/klagomål/A 13932-2025 FSC-klagomål.docx", "A 13932-2025")</f>
        <v/>
      </c>
      <c r="AB27">
        <f>HYPERLINK("https://klasma.github.io/Logging_1384/klagomålsmail/A 13932-2025 FSC-klagomål mail.docx", "A 13932-2025")</f>
        <v/>
      </c>
      <c r="AC27">
        <f>HYPERLINK("https://klasma.github.io/Logging_1384/tillsyn/A 13932-2025 tillsynsbegäran.docx", "A 13932-2025")</f>
        <v/>
      </c>
      <c r="AD27">
        <f>HYPERLINK("https://klasma.github.io/Logging_1384/tillsynsmail/A 13932-2025 tillsynsbegäran mail.docx", "A 13932-2025")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46229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46229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46229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41766-2021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46229</v>
      </c>
      <c r="F31" t="inlineStr">
        <is>
          <t>HALLANDS LÄN</t>
        </is>
      </c>
      <c r="G31" t="inlineStr">
        <is>
          <t>KUNGSBACKA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46229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46229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46229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46229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46229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46229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46229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46229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46229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46229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46229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46229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46229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46229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46229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46229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49492-2024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46229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46229</v>
      </c>
      <c r="F49" t="inlineStr">
        <is>
          <t>HALLANDS LÄN</t>
        </is>
      </c>
      <c r="G49" t="inlineStr">
        <is>
          <t>KUNGSBACKA</t>
        </is>
      </c>
      <c r="H49" t="inlineStr">
        <is>
          <t>Kyrkan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64363-2023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46229</v>
      </c>
      <c r="F50" t="inlineStr">
        <is>
          <t>HALLANDS LÄN</t>
        </is>
      </c>
      <c r="G50" t="inlineStr">
        <is>
          <t>KUNGSBACKA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46229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46229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46229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46229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46229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46229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45035</v>
      </c>
      <c r="E57" s="1" t="n">
        <v>46229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46229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46229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46229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46229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45653</v>
      </c>
      <c r="E62" s="1" t="n">
        <v>46229</v>
      </c>
      <c r="F62" t="inlineStr">
        <is>
          <t>HALLANDS LÄN</t>
        </is>
      </c>
      <c r="G62" t="inlineStr">
        <is>
          <t>KUNGSBACKA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46229</v>
      </c>
      <c r="F63" t="inlineStr">
        <is>
          <t>HALLANDS LÄN</t>
        </is>
      </c>
      <c r="G63" t="inlineStr">
        <is>
          <t>KUNGSBACKA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46229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45749</v>
      </c>
      <c r="E65" s="1" t="n">
        <v>46229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45371</v>
      </c>
      <c r="E66" s="1" t="n">
        <v>46229</v>
      </c>
      <c r="F66" t="inlineStr">
        <is>
          <t>HALLANDS LÄN</t>
        </is>
      </c>
      <c r="G66" t="inlineStr">
        <is>
          <t>KUNGSBACKA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46229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46229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46229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46229</v>
      </c>
      <c r="F70" t="inlineStr">
        <is>
          <t>HALLANDS LÄN</t>
        </is>
      </c>
      <c r="G70" t="inlineStr">
        <is>
          <t>KUNGSBACKA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24964-2024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45461</v>
      </c>
      <c r="E71" s="1" t="n">
        <v>46229</v>
      </c>
      <c r="F71" t="inlineStr">
        <is>
          <t>HALLANDS LÄN</t>
        </is>
      </c>
      <c r="G71" t="inlineStr">
        <is>
          <t>KUNGSBACKA</t>
        </is>
      </c>
      <c r="H71" t="inlineStr">
        <is>
          <t>Kommuner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46229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46229</v>
      </c>
      <c r="F73" t="inlineStr">
        <is>
          <t>HALLANDS LÄN</t>
        </is>
      </c>
      <c r="G73" t="inlineStr">
        <is>
          <t>KUNGSBACKA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45242</v>
      </c>
      <c r="E74" s="1" t="n">
        <v>46229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45242</v>
      </c>
      <c r="E75" s="1" t="n">
        <v>46229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45726</v>
      </c>
      <c r="E76" s="1" t="n">
        <v>46229</v>
      </c>
      <c r="F76" t="inlineStr">
        <is>
          <t>HALLANDS LÄN</t>
        </is>
      </c>
      <c r="G76" t="inlineStr">
        <is>
          <t>KUNGSBACKA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45743</v>
      </c>
      <c r="E77" s="1" t="n">
        <v>46229</v>
      </c>
      <c r="F77" t="inlineStr">
        <is>
          <t>HALLANDS LÄN</t>
        </is>
      </c>
      <c r="G77" t="inlineStr">
        <is>
          <t>KUNGSBACKA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14898-2023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45014</v>
      </c>
      <c r="E78" s="1" t="n">
        <v>46229</v>
      </c>
      <c r="F78" t="inlineStr">
        <is>
          <t>HALLANDS LÄN</t>
        </is>
      </c>
      <c r="G78" t="inlineStr">
        <is>
          <t>KUNGSBACKA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46229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45071</v>
      </c>
      <c r="E80" s="1" t="n">
        <v>46229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45370</v>
      </c>
      <c r="E81" s="1" t="n">
        <v>46229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46229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45656</v>
      </c>
      <c r="E83" s="1" t="n">
        <v>46229</v>
      </c>
      <c r="F83" t="inlineStr">
        <is>
          <t>HALLANDS LÄN</t>
        </is>
      </c>
      <c r="G83" t="inlineStr">
        <is>
          <t>KUNGSBACKA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22594-2023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45071</v>
      </c>
      <c r="E84" s="1" t="n">
        <v>46229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46229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46229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46229</v>
      </c>
      <c r="F87" t="inlineStr">
        <is>
          <t>HALLANDS LÄN</t>
        </is>
      </c>
      <c r="G87" t="inlineStr">
        <is>
          <t>KUNGSBACKA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44925</v>
      </c>
      <c r="E88" s="1" t="n">
        <v>46229</v>
      </c>
      <c r="F88" t="inlineStr">
        <is>
          <t>HALLANDS LÄN</t>
        </is>
      </c>
      <c r="G88" t="inlineStr">
        <is>
          <t>KUNGSBACKA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46229</v>
      </c>
      <c r="F89" t="inlineStr">
        <is>
          <t>HALLANDS LÄN</t>
        </is>
      </c>
      <c r="G89" t="inlineStr">
        <is>
          <t>KUNGSBACKA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46229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46229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46229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46229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46229</v>
      </c>
      <c r="F94" t="inlineStr">
        <is>
          <t>HALLANDS LÄN</t>
        </is>
      </c>
      <c r="G94" t="inlineStr">
        <is>
          <t>KUNGSBACKA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46229</v>
      </c>
      <c r="F95" t="inlineStr">
        <is>
          <t>HALLANDS LÄN</t>
        </is>
      </c>
      <c r="G95" t="inlineStr">
        <is>
          <t>KUNGSBACKA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46229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45337</v>
      </c>
      <c r="E97" s="1" t="n">
        <v>46229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46229</v>
      </c>
      <c r="F98" t="inlineStr">
        <is>
          <t>HALLANDS LÄN</t>
        </is>
      </c>
      <c r="G98" t="inlineStr">
        <is>
          <t>KUNGSBACKA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46229</v>
      </c>
      <c r="F99" t="inlineStr">
        <is>
          <t>HALLANDS LÄN</t>
        </is>
      </c>
      <c r="G99" t="inlineStr">
        <is>
          <t>KUNGSBACKA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46229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22003-2024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46229</v>
      </c>
      <c r="F101" t="inlineStr">
        <is>
          <t>HALLANDS LÄN</t>
        </is>
      </c>
      <c r="G101" t="inlineStr">
        <is>
          <t>KUNGSBACKA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46229</v>
      </c>
      <c r="F102" t="inlineStr">
        <is>
          <t>HALLANDS LÄN</t>
        </is>
      </c>
      <c r="G102" t="inlineStr">
        <is>
          <t>KUNGSBACKA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46229</v>
      </c>
      <c r="F103" t="inlineStr">
        <is>
          <t>HALLANDS LÄN</t>
        </is>
      </c>
      <c r="G103" t="inlineStr">
        <is>
          <t>KUNGSBACKA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45062</v>
      </c>
      <c r="E104" s="1" t="n">
        <v>46229</v>
      </c>
      <c r="F104" t="inlineStr">
        <is>
          <t>HALLANDS LÄN</t>
        </is>
      </c>
      <c r="G104" t="inlineStr">
        <is>
          <t>KUNGSBACKA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46229</v>
      </c>
      <c r="F105" t="inlineStr">
        <is>
          <t>HALLANDS LÄN</t>
        </is>
      </c>
      <c r="G105" t="inlineStr">
        <is>
          <t>KUNGSBACKA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46229</v>
      </c>
      <c r="F106" t="inlineStr">
        <is>
          <t>HALLANDS LÄN</t>
        </is>
      </c>
      <c r="G106" t="inlineStr">
        <is>
          <t>KUNGSBACKA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46229</v>
      </c>
      <c r="F107" t="inlineStr">
        <is>
          <t>HALLANDS LÄN</t>
        </is>
      </c>
      <c r="G107" t="inlineStr">
        <is>
          <t>KUNGSBACKA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46229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46229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28574-2024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46229</v>
      </c>
      <c r="F110" t="inlineStr">
        <is>
          <t>HALLANDS LÄN</t>
        </is>
      </c>
      <c r="G110" t="inlineStr">
        <is>
          <t>KUNGSBACKA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46229</v>
      </c>
      <c r="F111" t="inlineStr">
        <is>
          <t>HALLANDS LÄN</t>
        </is>
      </c>
      <c r="G111" t="inlineStr">
        <is>
          <t>KUNGSBACKA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46229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46229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36770-2025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45873</v>
      </c>
      <c r="E114" s="1" t="n">
        <v>46229</v>
      </c>
      <c r="F114" t="inlineStr">
        <is>
          <t>HALLANDS LÄN</t>
        </is>
      </c>
      <c r="G114" t="inlineStr">
        <is>
          <t>KUNGSBACKA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46229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46229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45801</v>
      </c>
      <c r="E117" s="1" t="n">
        <v>46229</v>
      </c>
      <c r="F117" t="inlineStr">
        <is>
          <t>HALLANDS LÄN</t>
        </is>
      </c>
      <c r="G117" t="inlineStr">
        <is>
          <t>KUNGSBACKA</t>
        </is>
      </c>
      <c r="I117" t="n">
        <v>8.9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46229</v>
      </c>
      <c r="F118" t="inlineStr">
        <is>
          <t>HALLANDS LÄN</t>
        </is>
      </c>
      <c r="G118" t="inlineStr">
        <is>
          <t>KUNGSBACKA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45504</v>
      </c>
      <c r="E119" s="1" t="n">
        <v>46229</v>
      </c>
      <c r="F119" t="inlineStr">
        <is>
          <t>HALLANDS LÄN</t>
        </is>
      </c>
      <c r="G119" t="inlineStr">
        <is>
          <t>KUNGSBACKA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39066-2025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45888</v>
      </c>
      <c r="E120" s="1" t="n">
        <v>46229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46229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46229</v>
      </c>
      <c r="F122" t="inlineStr">
        <is>
          <t>HALLANDS LÄN</t>
        </is>
      </c>
      <c r="G122" t="inlineStr">
        <is>
          <t>KUNGSBACKA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39486-2025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46229</v>
      </c>
      <c r="F123" t="inlineStr">
        <is>
          <t>HALLANDS LÄN</t>
        </is>
      </c>
      <c r="G123" t="inlineStr">
        <is>
          <t>KUNGSBACKA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46229</v>
      </c>
      <c r="F124" t="inlineStr">
        <is>
          <t>HALLANDS LÄN</t>
        </is>
      </c>
      <c r="G124" t="inlineStr">
        <is>
          <t>KUNGSBACKA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46229</v>
      </c>
      <c r="F125" t="inlineStr">
        <is>
          <t>HALLANDS LÄN</t>
        </is>
      </c>
      <c r="G125" t="inlineStr">
        <is>
          <t>KUNGSBACKA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46229</v>
      </c>
      <c r="F126" t="inlineStr">
        <is>
          <t>HALLANDS LÄN</t>
        </is>
      </c>
      <c r="G126" t="inlineStr">
        <is>
          <t>KUNGSBACKA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45867</v>
      </c>
      <c r="E127" s="1" t="n">
        <v>46229</v>
      </c>
      <c r="F127" t="inlineStr">
        <is>
          <t>HALLANDS LÄN</t>
        </is>
      </c>
      <c r="G127" t="inlineStr">
        <is>
          <t>KUNGSBACKA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46229</v>
      </c>
      <c r="F128" t="inlineStr">
        <is>
          <t>HALLANDS LÄN</t>
        </is>
      </c>
      <c r="G128" t="inlineStr">
        <is>
          <t>KUNGSBACKA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46229</v>
      </c>
      <c r="F129" t="inlineStr">
        <is>
          <t>HALLANDS LÄN</t>
        </is>
      </c>
      <c r="G129" t="inlineStr">
        <is>
          <t>KUNGSBACKA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46229</v>
      </c>
      <c r="F130" t="inlineStr">
        <is>
          <t>HALLANDS LÄN</t>
        </is>
      </c>
      <c r="G130" t="inlineStr">
        <is>
          <t>KUNGSBACKA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46229</v>
      </c>
      <c r="F131" t="inlineStr">
        <is>
          <t>HALLANDS LÄN</t>
        </is>
      </c>
      <c r="G131" t="inlineStr">
        <is>
          <t>KUNGSBACKA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46229</v>
      </c>
      <c r="F132" t="inlineStr">
        <is>
          <t>HALLANDS LÄN</t>
        </is>
      </c>
      <c r="G132" t="inlineStr">
        <is>
          <t>KUNGSBACKA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46229</v>
      </c>
      <c r="F133" t="inlineStr">
        <is>
          <t>HALLANDS LÄN</t>
        </is>
      </c>
      <c r="G133" t="inlineStr">
        <is>
          <t>KUNGSBACKA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46229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44851</v>
      </c>
      <c r="E135" s="1" t="n">
        <v>46229</v>
      </c>
      <c r="F135" t="inlineStr">
        <is>
          <t>HALLANDS LÄN</t>
        </is>
      </c>
      <c r="G135" t="inlineStr">
        <is>
          <t>KUNGSBACKA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46229</v>
      </c>
      <c r="F136" t="inlineStr">
        <is>
          <t>HALLANDS LÄN</t>
        </is>
      </c>
      <c r="G136" t="inlineStr">
        <is>
          <t>KUNGSBACKA</t>
        </is>
      </c>
      <c r="H136" t="inlineStr">
        <is>
          <t>Kyrkan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46229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46229</v>
      </c>
      <c r="F138" t="inlineStr">
        <is>
          <t>HALLANDS LÄN</t>
        </is>
      </c>
      <c r="G138" t="inlineStr">
        <is>
          <t>KUNGSBACKA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46229</v>
      </c>
      <c r="F139" t="inlineStr">
        <is>
          <t>HALLANDS LÄN</t>
        </is>
      </c>
      <c r="G139" t="inlineStr">
        <is>
          <t>KUNGSBACKA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46229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46229</v>
      </c>
      <c r="F141" t="inlineStr">
        <is>
          <t>HALLANDS LÄN</t>
        </is>
      </c>
      <c r="G141" t="inlineStr">
        <is>
          <t>KUNGSBACKA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46229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46229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46229</v>
      </c>
      <c r="F144" t="inlineStr">
        <is>
          <t>HALLANDS LÄN</t>
        </is>
      </c>
      <c r="G144" t="inlineStr">
        <is>
          <t>KUNGSBACKA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46229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45323</v>
      </c>
      <c r="E146" s="1" t="n">
        <v>46229</v>
      </c>
      <c r="F146" t="inlineStr">
        <is>
          <t>HALLANDS LÄN</t>
        </is>
      </c>
      <c r="G146" t="inlineStr">
        <is>
          <t>KUNGSBACKA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46229</v>
      </c>
      <c r="F147" t="inlineStr">
        <is>
          <t>HALLANDS LÄN</t>
        </is>
      </c>
      <c r="G147" t="inlineStr">
        <is>
          <t>KUNGSBACKA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46229</v>
      </c>
      <c r="F148" t="inlineStr">
        <is>
          <t>HALLANDS LÄN</t>
        </is>
      </c>
      <c r="G148" t="inlineStr">
        <is>
          <t>KUNGSBACKA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44748</v>
      </c>
      <c r="E149" s="1" t="n">
        <v>46229</v>
      </c>
      <c r="F149" t="inlineStr">
        <is>
          <t>HALLANDS LÄN</t>
        </is>
      </c>
      <c r="G149" t="inlineStr">
        <is>
          <t>KUNGSBACKA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46229</v>
      </c>
      <c r="F150" t="inlineStr">
        <is>
          <t>HALLANDS LÄN</t>
        </is>
      </c>
      <c r="G150" t="inlineStr">
        <is>
          <t>KUNGSBACKA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46229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46229</v>
      </c>
      <c r="F152" t="inlineStr">
        <is>
          <t>HALLANDS LÄN</t>
        </is>
      </c>
      <c r="G152" t="inlineStr">
        <is>
          <t>KUNGSBACKA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46229</v>
      </c>
      <c r="F153" t="inlineStr">
        <is>
          <t>HALLANDS LÄN</t>
        </is>
      </c>
      <c r="G153" t="inlineStr">
        <is>
          <t>KUNGSBACKA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46229</v>
      </c>
      <c r="F154" t="inlineStr">
        <is>
          <t>HALLANDS LÄN</t>
        </is>
      </c>
      <c r="G154" t="inlineStr">
        <is>
          <t>KUNGSBACKA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45923</v>
      </c>
      <c r="E155" s="1" t="n">
        <v>46229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46229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46229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46229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51523-2025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45950</v>
      </c>
      <c r="E159" s="1" t="n">
        <v>46229</v>
      </c>
      <c r="F159" t="inlineStr">
        <is>
          <t>HALLANDS LÄN</t>
        </is>
      </c>
      <c r="G159" t="inlineStr">
        <is>
          <t>KUNGSBACKA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45952</v>
      </c>
      <c r="E160" s="1" t="n">
        <v>46229</v>
      </c>
      <c r="F160" t="inlineStr">
        <is>
          <t>HALLANDS LÄN</t>
        </is>
      </c>
      <c r="G160" t="inlineStr">
        <is>
          <t>KUNGSBACKA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44775</v>
      </c>
      <c r="E161" s="1" t="n">
        <v>46229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46229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46229</v>
      </c>
      <c r="F163" t="inlineStr">
        <is>
          <t>HALLANDS LÄN</t>
        </is>
      </c>
      <c r="G163" t="inlineStr">
        <is>
          <t>KUNGSBACKA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45356</v>
      </c>
      <c r="E164" s="1" t="n">
        <v>46229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46229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55272-2025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45968</v>
      </c>
      <c r="E166" s="1" t="n">
        <v>46229</v>
      </c>
      <c r="F166" t="inlineStr">
        <is>
          <t>HALLANDS LÄN</t>
        </is>
      </c>
      <c r="G166" t="inlineStr">
        <is>
          <t>KUNGSBACKA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45329</v>
      </c>
      <c r="E167" s="1" t="n">
        <v>46229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45743</v>
      </c>
      <c r="E168" s="1" t="n">
        <v>46229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71676-2021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46229</v>
      </c>
      <c r="F169" t="inlineStr">
        <is>
          <t>HALLANDS LÄN</t>
        </is>
      </c>
      <c r="G169" t="inlineStr">
        <is>
          <t>KUNGSBACKA</t>
        </is>
      </c>
      <c r="I169" t="n">
        <v>8.1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46229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46229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45742</v>
      </c>
      <c r="E172" s="1" t="n">
        <v>46229</v>
      </c>
      <c r="F172" t="inlineStr">
        <is>
          <t>HALLANDS LÄN</t>
        </is>
      </c>
      <c r="G172" t="inlineStr">
        <is>
          <t>KUNGSBACKA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46229</v>
      </c>
      <c r="F173" t="inlineStr">
        <is>
          <t>HALLANDS LÄN</t>
        </is>
      </c>
      <c r="G173" t="inlineStr">
        <is>
          <t>KUNGSBACKA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46229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46229</v>
      </c>
      <c r="F175" t="inlineStr">
        <is>
          <t>HALLANDS LÄN</t>
        </is>
      </c>
      <c r="G175" t="inlineStr">
        <is>
          <t>KUNGSBACKA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46229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46229</v>
      </c>
      <c r="F177" t="inlineStr">
        <is>
          <t>HALLANDS LÄN</t>
        </is>
      </c>
      <c r="G177" t="inlineStr">
        <is>
          <t>KUNGSBACKA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46229</v>
      </c>
      <c r="F178" t="inlineStr">
        <is>
          <t>HALLANDS LÄN</t>
        </is>
      </c>
      <c r="G178" t="inlineStr">
        <is>
          <t>KUNGSBACKA</t>
        </is>
      </c>
      <c r="I178" t="n">
        <v>18.8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46229</v>
      </c>
      <c r="F179" t="inlineStr">
        <is>
          <t>HALLANDS LÄN</t>
        </is>
      </c>
      <c r="G179" t="inlineStr">
        <is>
          <t>KUNGSBACKA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28515-2026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46229</v>
      </c>
      <c r="F180" t="inlineStr">
        <is>
          <t>HALLANDS LÄN</t>
        </is>
      </c>
      <c r="G180" t="inlineStr">
        <is>
          <t>KUNGSBACKA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46229</v>
      </c>
      <c r="F181" t="inlineStr">
        <is>
          <t>HALLANDS LÄN</t>
        </is>
      </c>
      <c r="G181" t="inlineStr">
        <is>
          <t>KUNGSBACKA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46229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46229</v>
      </c>
      <c r="F183" t="inlineStr">
        <is>
          <t>HALLANDS LÄN</t>
        </is>
      </c>
      <c r="G183" t="inlineStr">
        <is>
          <t>KUNGSBACKA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46229</v>
      </c>
      <c r="F184" t="inlineStr">
        <is>
          <t>HALLANDS LÄN</t>
        </is>
      </c>
      <c r="G184" t="inlineStr">
        <is>
          <t>KUNGSBACKA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46229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45398</v>
      </c>
      <c r="E186" s="1" t="n">
        <v>46229</v>
      </c>
      <c r="F186" t="inlineStr">
        <is>
          <t>HALLANDS LÄN</t>
        </is>
      </c>
      <c r="G186" t="inlineStr">
        <is>
          <t>KUNGSBACKA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46229</v>
      </c>
      <c r="F187" t="inlineStr">
        <is>
          <t>HALLANDS LÄN</t>
        </is>
      </c>
      <c r="G187" t="inlineStr">
        <is>
          <t>KUNGSBACKA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46229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44726</v>
      </c>
      <c r="E189" s="1" t="n">
        <v>46229</v>
      </c>
      <c r="F189" t="inlineStr">
        <is>
          <t>HALLANDS LÄN</t>
        </is>
      </c>
      <c r="G189" t="inlineStr">
        <is>
          <t>KUNGSBACKA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46229</v>
      </c>
      <c r="F190" t="inlineStr">
        <is>
          <t>HALLANDS LÄN</t>
        </is>
      </c>
      <c r="G190" t="inlineStr">
        <is>
          <t>KUNGSBACKA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46229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46229</v>
      </c>
      <c r="F192" t="inlineStr">
        <is>
          <t>HALLANDS LÄN</t>
        </is>
      </c>
      <c r="G192" t="inlineStr">
        <is>
          <t>KUNGSBACKA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46229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45366</v>
      </c>
      <c r="E194" s="1" t="n">
        <v>46229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46229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46229</v>
      </c>
      <c r="F196" t="inlineStr">
        <is>
          <t>HALLANDS LÄN</t>
        </is>
      </c>
      <c r="G196" t="inlineStr">
        <is>
          <t>KUNGSBACKA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46229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59623-2024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45638</v>
      </c>
      <c r="E198" s="1" t="n">
        <v>46229</v>
      </c>
      <c r="F198" t="inlineStr">
        <is>
          <t>HALLANDS LÄN</t>
        </is>
      </c>
      <c r="G198" t="inlineStr">
        <is>
          <t>KUNGSBACKA</t>
        </is>
      </c>
      <c r="I198" t="n">
        <v>19.2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46229</v>
      </c>
      <c r="F199" t="inlineStr">
        <is>
          <t>HALLANDS LÄN</t>
        </is>
      </c>
      <c r="G199" t="inlineStr">
        <is>
          <t>KUNGSBACKA</t>
        </is>
      </c>
      <c r="I199" t="n">
        <v>19.2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46229</v>
      </c>
      <c r="F200" t="inlineStr">
        <is>
          <t>HALLANDS LÄN</t>
        </is>
      </c>
      <c r="G200" t="inlineStr">
        <is>
          <t>KUNGSBACKA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44674-2025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45917</v>
      </c>
      <c r="E201" s="1" t="n">
        <v>46229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45755</v>
      </c>
      <c r="E202" s="1" t="n">
        <v>46229</v>
      </c>
      <c r="F202" t="inlineStr">
        <is>
          <t>HALLANDS LÄN</t>
        </is>
      </c>
      <c r="G202" t="inlineStr">
        <is>
          <t>KUNGSBACKA</t>
        </is>
      </c>
      <c r="H202" t="inlineStr">
        <is>
          <t>Övriga Aktiebolag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44414</v>
      </c>
      <c r="E203" s="1" t="n">
        <v>46229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46229</v>
      </c>
      <c r="F204" t="inlineStr">
        <is>
          <t>HALLANDS LÄN</t>
        </is>
      </c>
      <c r="G204" t="inlineStr">
        <is>
          <t>KUNGSBACKA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46229</v>
      </c>
      <c r="F205" t="inlineStr">
        <is>
          <t>HALLANDS LÄN</t>
        </is>
      </c>
      <c r="G205" t="inlineStr">
        <is>
          <t>KUNGSBACKA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46052</v>
      </c>
      <c r="E206" s="1" t="n">
        <v>46229</v>
      </c>
      <c r="F206" t="inlineStr">
        <is>
          <t>HALLANDS LÄN</t>
        </is>
      </c>
      <c r="G206" t="inlineStr">
        <is>
          <t>KUNGSBACKA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45656</v>
      </c>
      <c r="E207" s="1" t="n">
        <v>46229</v>
      </c>
      <c r="F207" t="inlineStr">
        <is>
          <t>HALLANDS LÄN</t>
        </is>
      </c>
      <c r="G207" t="inlineStr">
        <is>
          <t>KUNGSBACKA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46054</v>
      </c>
      <c r="E208" s="1" t="n">
        <v>46229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46054</v>
      </c>
      <c r="E209" s="1" t="n">
        <v>46229</v>
      </c>
      <c r="F209" t="inlineStr">
        <is>
          <t>HALLANDS LÄN</t>
        </is>
      </c>
      <c r="G209" t="inlineStr">
        <is>
          <t>KUNGSBACKA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46229</v>
      </c>
      <c r="F210" t="inlineStr">
        <is>
          <t>HALLANDS LÄN</t>
        </is>
      </c>
      <c r="G210" t="inlineStr">
        <is>
          <t>KUNGSBACKA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46229</v>
      </c>
      <c r="F211" t="inlineStr">
        <is>
          <t>HALLANDS LÄN</t>
        </is>
      </c>
      <c r="G211" t="inlineStr">
        <is>
          <t>KUNGSBACKA</t>
        </is>
      </c>
      <c r="H211" t="inlineStr">
        <is>
          <t>Övriga Aktiebolag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46229</v>
      </c>
      <c r="F212" t="inlineStr">
        <is>
          <t>HALLANDS LÄN</t>
        </is>
      </c>
      <c r="G212" t="inlineStr">
        <is>
          <t>KUNGSBACKA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46229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20750-2024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46229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8167-2026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46063</v>
      </c>
      <c r="E215" s="1" t="n">
        <v>46229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46229</v>
      </c>
      <c r="F216" t="inlineStr">
        <is>
          <t>HALLANDS LÄN</t>
        </is>
      </c>
      <c r="G216" t="inlineStr">
        <is>
          <t>KUNGSBACKA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46229</v>
      </c>
      <c r="F217" t="inlineStr">
        <is>
          <t>HALLANDS LÄN</t>
        </is>
      </c>
      <c r="G217" t="inlineStr">
        <is>
          <t>KUNGSBACKA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46229</v>
      </c>
      <c r="F218" t="inlineStr">
        <is>
          <t>HALLANDS LÄN</t>
        </is>
      </c>
      <c r="G218" t="inlineStr">
        <is>
          <t>KUNGSBACKA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46229</v>
      </c>
      <c r="F219" t="inlineStr">
        <is>
          <t>HALLANDS LÄN</t>
        </is>
      </c>
      <c r="G219" t="inlineStr">
        <is>
          <t>KUNGSBACKA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46229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45719</v>
      </c>
      <c r="E221" s="1" t="n">
        <v>46229</v>
      </c>
      <c r="F221" t="inlineStr">
        <is>
          <t>HALLANDS LÄN</t>
        </is>
      </c>
      <c r="G221" t="inlineStr">
        <is>
          <t>KUNGSBACKA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46229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46229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8170-2026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46063</v>
      </c>
      <c r="E224" s="1" t="n">
        <v>46229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65199-2023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45288</v>
      </c>
      <c r="E225" s="1" t="n">
        <v>46229</v>
      </c>
      <c r="F225" t="inlineStr">
        <is>
          <t>HALLANDS LÄN</t>
        </is>
      </c>
      <c r="G225" t="inlineStr">
        <is>
          <t>KUNGSBACKA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45700</v>
      </c>
      <c r="E226" s="1" t="n">
        <v>46229</v>
      </c>
      <c r="F226" t="inlineStr">
        <is>
          <t>HALLANDS LÄN</t>
        </is>
      </c>
      <c r="G226" t="inlineStr">
        <is>
          <t>KUNGSBACKA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46229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46229</v>
      </c>
      <c r="F228" t="inlineStr">
        <is>
          <t>HALLANDS LÄN</t>
        </is>
      </c>
      <c r="G228" t="inlineStr">
        <is>
          <t>KUNGSBACKA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45525</v>
      </c>
      <c r="E229" s="1" t="n">
        <v>46229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45525</v>
      </c>
      <c r="E230" s="1" t="n">
        <v>46229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46229</v>
      </c>
      <c r="F231" t="inlineStr">
        <is>
          <t>HALLANDS LÄN</t>
        </is>
      </c>
      <c r="G231" t="inlineStr">
        <is>
          <t>KUNGSBACKA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45729</v>
      </c>
      <c r="E232" s="1" t="n">
        <v>46229</v>
      </c>
      <c r="F232" t="inlineStr">
        <is>
          <t>HALLANDS LÄN</t>
        </is>
      </c>
      <c r="G232" t="inlineStr">
        <is>
          <t>KUNGSBACKA</t>
        </is>
      </c>
      <c r="H232" t="inlineStr">
        <is>
          <t>Övriga Aktiebolag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45504</v>
      </c>
      <c r="E233" s="1" t="n">
        <v>46229</v>
      </c>
      <c r="F233" t="inlineStr">
        <is>
          <t>HALLANDS LÄN</t>
        </is>
      </c>
      <c r="G233" t="inlineStr">
        <is>
          <t>KUNGSBACKA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44601</v>
      </c>
      <c r="E234" s="1" t="n">
        <v>46229</v>
      </c>
      <c r="F234" t="inlineStr">
        <is>
          <t>HALLANDS LÄN</t>
        </is>
      </c>
      <c r="G234" t="inlineStr">
        <is>
          <t>KUNGSBACKA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46229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46229</v>
      </c>
      <c r="F236" t="inlineStr">
        <is>
          <t>HALLANDS LÄN</t>
        </is>
      </c>
      <c r="G236" t="inlineStr">
        <is>
          <t>KUNGSBACKA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45131</v>
      </c>
      <c r="E237" s="1" t="n">
        <v>46229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46229</v>
      </c>
      <c r="F238" t="inlineStr">
        <is>
          <t>HALLANDS LÄN</t>
        </is>
      </c>
      <c r="G238" t="inlineStr">
        <is>
          <t>KUNGSBACKA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46229</v>
      </c>
      <c r="F239" t="inlineStr">
        <is>
          <t>HALLANDS LÄN</t>
        </is>
      </c>
      <c r="G239" t="inlineStr">
        <is>
          <t>KUNGSBACKA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25337-2026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46229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46229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46229</v>
      </c>
      <c r="F242" t="inlineStr">
        <is>
          <t>HALLANDS LÄN</t>
        </is>
      </c>
      <c r="G242" t="inlineStr">
        <is>
          <t>KUNGSBACKA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46229</v>
      </c>
      <c r="F243" t="inlineStr">
        <is>
          <t>HALLANDS LÄN</t>
        </is>
      </c>
      <c r="G243" t="inlineStr">
        <is>
          <t>KUNGSBACKA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25351-2026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46176</v>
      </c>
      <c r="E244" s="1" t="n">
        <v>46229</v>
      </c>
      <c r="F244" t="inlineStr">
        <is>
          <t>HALLANDS LÄN</t>
        </is>
      </c>
      <c r="G244" t="inlineStr">
        <is>
          <t>KUNGSBACKA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44773</v>
      </c>
      <c r="E245" s="1" t="n">
        <v>46229</v>
      </c>
      <c r="F245" t="inlineStr">
        <is>
          <t>HALLANDS LÄN</t>
        </is>
      </c>
      <c r="G245" t="inlineStr">
        <is>
          <t>KUNGSBACKA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18077-2026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46125</v>
      </c>
      <c r="E246" s="1" t="n">
        <v>46229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44684</v>
      </c>
      <c r="E247" s="1" t="n">
        <v>46229</v>
      </c>
      <c r="F247" t="inlineStr">
        <is>
          <t>HALLANDS LÄN</t>
        </is>
      </c>
      <c r="G247" t="inlineStr">
        <is>
          <t>KUNGSBACKA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46229</v>
      </c>
      <c r="F248" t="inlineStr">
        <is>
          <t>HALLANDS LÄN</t>
        </is>
      </c>
      <c r="G248" t="inlineStr">
        <is>
          <t>KUNGSBACKA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53051-2021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46229</v>
      </c>
      <c r="F249" t="inlineStr">
        <is>
          <t>HALLANDS LÄN</t>
        </is>
      </c>
      <c r="G249" t="inlineStr">
        <is>
          <t>KUNGSBACKA</t>
        </is>
      </c>
      <c r="H249" t="inlineStr">
        <is>
          <t>Kommuner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17293-2025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45756</v>
      </c>
      <c r="E250" s="1" t="n">
        <v>46229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46229</v>
      </c>
      <c r="F251" t="inlineStr">
        <is>
          <t>HALLANDS LÄN</t>
        </is>
      </c>
      <c r="G251" t="inlineStr">
        <is>
          <t>KUNGSBACKA</t>
        </is>
      </c>
      <c r="H251" t="inlineStr">
        <is>
          <t>Kommuner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46229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46229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46229</v>
      </c>
      <c r="F254" t="inlineStr">
        <is>
          <t>HALLANDS LÄN</t>
        </is>
      </c>
      <c r="G254" t="inlineStr">
        <is>
          <t>KUNGSBACKA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46229</v>
      </c>
      <c r="F255" t="inlineStr">
        <is>
          <t>HALLANDS LÄN</t>
        </is>
      </c>
      <c r="G255" t="inlineStr">
        <is>
          <t>KUNGSBACKA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46229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46229</v>
      </c>
      <c r="F257" t="inlineStr">
        <is>
          <t>HALLANDS LÄN</t>
        </is>
      </c>
      <c r="G257" t="inlineStr">
        <is>
          <t>KUNGSBACKA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45653</v>
      </c>
      <c r="E258" s="1" t="n">
        <v>46229</v>
      </c>
      <c r="F258" t="inlineStr">
        <is>
          <t>HALLANDS LÄN</t>
        </is>
      </c>
      <c r="G258" t="inlineStr">
        <is>
          <t>KUNGSBACKA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26733-2026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46184</v>
      </c>
      <c r="E259" s="1" t="n">
        <v>46229</v>
      </c>
      <c r="F259" t="inlineStr">
        <is>
          <t>HALLANDS LÄN</t>
        </is>
      </c>
      <c r="G259" t="inlineStr">
        <is>
          <t>KUNGSBACKA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46229</v>
      </c>
      <c r="F260" t="inlineStr">
        <is>
          <t>HALLANDS LÄN</t>
        </is>
      </c>
      <c r="G260" t="inlineStr">
        <is>
          <t>KUNGSBACKA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46229</v>
      </c>
      <c r="F261" t="inlineStr">
        <is>
          <t>HALLANDS LÄN</t>
        </is>
      </c>
      <c r="G261" t="inlineStr">
        <is>
          <t>KUNGSBACKA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26701-2026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46229</v>
      </c>
      <c r="F262" t="inlineStr">
        <is>
          <t>HALLANDS LÄN</t>
        </is>
      </c>
      <c r="G262" t="inlineStr">
        <is>
          <t>KUNGSBACKA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46229</v>
      </c>
      <c r="F263" t="inlineStr">
        <is>
          <t>HALLANDS LÄN</t>
        </is>
      </c>
      <c r="G263" t="inlineStr">
        <is>
          <t>KUNGSBACKA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46229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46229</v>
      </c>
      <c r="F265" t="inlineStr">
        <is>
          <t>HALLANDS LÄN</t>
        </is>
      </c>
      <c r="G265" t="inlineStr">
        <is>
          <t>KUNGSBACKA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46229</v>
      </c>
      <c r="F266" t="inlineStr">
        <is>
          <t>HALLANDS LÄN</t>
        </is>
      </c>
      <c r="G266" t="inlineStr">
        <is>
          <t>KUNGSBACKA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45246</v>
      </c>
      <c r="E267" s="1" t="n">
        <v>46229</v>
      </c>
      <c r="F267" t="inlineStr">
        <is>
          <t>HALLANDS LÄN</t>
        </is>
      </c>
      <c r="G267" t="inlineStr">
        <is>
          <t>KUNGSBACKA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45587</v>
      </c>
      <c r="E268" s="1" t="n">
        <v>46229</v>
      </c>
      <c r="F268" t="inlineStr">
        <is>
          <t>HALLANDS LÄN</t>
        </is>
      </c>
      <c r="G268" t="inlineStr">
        <is>
          <t>KUNGSBACKA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52909-2021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46229</v>
      </c>
      <c r="F269" t="inlineStr">
        <is>
          <t>HALLANDS LÄN</t>
        </is>
      </c>
      <c r="G269" t="inlineStr">
        <is>
          <t>KUNGSBACKA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45706</v>
      </c>
      <c r="E270" s="1" t="n">
        <v>46229</v>
      </c>
      <c r="F270" t="inlineStr">
        <is>
          <t>HALLANDS LÄN</t>
        </is>
      </c>
      <c r="G270" t="inlineStr">
        <is>
          <t>KUNGSBACKA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46229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44997</v>
      </c>
      <c r="E272" s="1" t="n">
        <v>46229</v>
      </c>
      <c r="F272" t="inlineStr">
        <is>
          <t>HALLANDS LÄN</t>
        </is>
      </c>
      <c r="G272" t="inlineStr">
        <is>
          <t>KUNGSBACKA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63598-2023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45275</v>
      </c>
      <c r="E273" s="1" t="n">
        <v>46229</v>
      </c>
      <c r="F273" t="inlineStr">
        <is>
          <t>HALLANDS LÄN</t>
        </is>
      </c>
      <c r="G273" t="inlineStr">
        <is>
          <t>KUNGSBACKA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46229</v>
      </c>
      <c r="F274" t="inlineStr">
        <is>
          <t>HALLANDS LÄN</t>
        </is>
      </c>
      <c r="G274" t="inlineStr">
        <is>
          <t>KUNGSBACKA</t>
        </is>
      </c>
      <c r="H274" t="inlineStr">
        <is>
          <t>Kyrkan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46229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48754-2023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45208</v>
      </c>
      <c r="E276" s="1" t="n">
        <v>46229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53378-2021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44468</v>
      </c>
      <c r="E277" s="1" t="n">
        <v>46229</v>
      </c>
      <c r="F277" t="inlineStr">
        <is>
          <t>HALLANDS LÄN</t>
        </is>
      </c>
      <c r="G277" t="inlineStr">
        <is>
          <t>KUNGSBACKA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46229</v>
      </c>
      <c r="F278" t="inlineStr">
        <is>
          <t>HALLANDS LÄN</t>
        </is>
      </c>
      <c r="G278" t="inlineStr">
        <is>
          <t>KUNGSBACKA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27287-2023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45096</v>
      </c>
      <c r="E279" s="1" t="n">
        <v>46229</v>
      </c>
      <c r="F279" t="inlineStr">
        <is>
          <t>HALLANDS LÄN</t>
        </is>
      </c>
      <c r="G279" t="inlineStr">
        <is>
          <t>KUNGSBACKA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51332-2022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46229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31884-2022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44777</v>
      </c>
      <c r="E281" s="1" t="n">
        <v>46229</v>
      </c>
      <c r="F281" t="inlineStr">
        <is>
          <t>HALLANDS LÄN</t>
        </is>
      </c>
      <c r="G281" t="inlineStr">
        <is>
          <t>KUNGSBACKA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46229</v>
      </c>
      <c r="F282" t="inlineStr">
        <is>
          <t>HALLANDS LÄN</t>
        </is>
      </c>
      <c r="G282" t="inlineStr">
        <is>
          <t>KUNGSBACKA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46229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46229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46229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46229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19502-2022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46229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44925</v>
      </c>
      <c r="E288" s="1" t="n">
        <v>46229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46229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44999</v>
      </c>
      <c r="E290" s="1" t="n">
        <v>46229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46229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46229</v>
      </c>
      <c r="F292" t="inlineStr">
        <is>
          <t>HALLANDS LÄN</t>
        </is>
      </c>
      <c r="G292" t="inlineStr">
        <is>
          <t>KUNGSBACKA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45776</v>
      </c>
      <c r="E293" s="1" t="n">
        <v>46229</v>
      </c>
      <c r="F293" t="inlineStr">
        <is>
          <t>HALLANDS LÄN</t>
        </is>
      </c>
      <c r="G293" t="inlineStr">
        <is>
          <t>KUNGSBACKA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46229</v>
      </c>
      <c r="F294" t="inlineStr">
        <is>
          <t>HALLANDS LÄN</t>
        </is>
      </c>
      <c r="G294" t="inlineStr">
        <is>
          <t>KUNGSBACKA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46229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45679</v>
      </c>
      <c r="E296" s="1" t="n">
        <v>46229</v>
      </c>
      <c r="F296" t="inlineStr">
        <is>
          <t>HALLANDS LÄN</t>
        </is>
      </c>
      <c r="G296" t="inlineStr">
        <is>
          <t>KUNGSBACKA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25269-2025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45800</v>
      </c>
      <c r="E297" s="1" t="n">
        <v>46229</v>
      </c>
      <c r="F297" t="inlineStr">
        <is>
          <t>HALLANDS LÄN</t>
        </is>
      </c>
      <c r="G297" t="inlineStr">
        <is>
          <t>KUNGSBACKA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46229</v>
      </c>
      <c r="F298" t="inlineStr">
        <is>
          <t>HALLANDS LÄN</t>
        </is>
      </c>
      <c r="G298" t="inlineStr">
        <is>
          <t>KUNGSBACKA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46229</v>
      </c>
      <c r="F299" t="inlineStr">
        <is>
          <t>HALLANDS LÄN</t>
        </is>
      </c>
      <c r="G299" t="inlineStr">
        <is>
          <t>KUNGSBACKA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46229</v>
      </c>
      <c r="F300" t="inlineStr">
        <is>
          <t>HALLANDS LÄN</t>
        </is>
      </c>
      <c r="G300" t="inlineStr">
        <is>
          <t>KUNGSBACKA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46229</v>
      </c>
      <c r="F301" t="inlineStr">
        <is>
          <t>HALLANDS LÄN</t>
        </is>
      </c>
      <c r="G301" t="inlineStr">
        <is>
          <t>KUNGSBACKA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46229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28900-2025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46229</v>
      </c>
      <c r="F303" t="inlineStr">
        <is>
          <t>HALLANDS LÄN</t>
        </is>
      </c>
      <c r="G303" t="inlineStr">
        <is>
          <t>KUNGSBACKA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46229</v>
      </c>
      <c r="F304" t="inlineStr">
        <is>
          <t>HALLANDS LÄN</t>
        </is>
      </c>
      <c r="G304" t="inlineStr">
        <is>
          <t>KUNGSBACKA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46229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46229</v>
      </c>
      <c r="F306" t="inlineStr">
        <is>
          <t>HALLANDS LÄN</t>
        </is>
      </c>
      <c r="G306" t="inlineStr">
        <is>
          <t>KUNGSBACKA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46229</v>
      </c>
      <c r="F307" t="inlineStr">
        <is>
          <t>HALLANDS LÄN</t>
        </is>
      </c>
      <c r="G307" t="inlineStr">
        <is>
          <t>KUNGSBACKA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46229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45849</v>
      </c>
      <c r="E309" s="1" t="n">
        <v>46229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46229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46229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45761</v>
      </c>
      <c r="E312" s="1" t="n">
        <v>46229</v>
      </c>
      <c r="F312" t="inlineStr">
        <is>
          <t>HALLANDS LÄN</t>
        </is>
      </c>
      <c r="G312" t="inlineStr">
        <is>
          <t>KUNGSBACKA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45862</v>
      </c>
      <c r="E313" s="1" t="n">
        <v>46229</v>
      </c>
      <c r="F313" t="inlineStr">
        <is>
          <t>HALLANDS LÄN</t>
        </is>
      </c>
      <c r="G313" t="inlineStr">
        <is>
          <t>KUNGSBACKA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45134</v>
      </c>
      <c r="E314" s="1" t="n">
        <v>46229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46229</v>
      </c>
      <c r="F315" t="inlineStr">
        <is>
          <t>HALLANDS LÄN</t>
        </is>
      </c>
      <c r="G315" t="inlineStr">
        <is>
          <t>KUNGSBACKA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45700</v>
      </c>
      <c r="E316" s="1" t="n">
        <v>46229</v>
      </c>
      <c r="F316" t="inlineStr">
        <is>
          <t>HALLANDS LÄN</t>
        </is>
      </c>
      <c r="G316" t="inlineStr">
        <is>
          <t>KUNGSBACKA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59-2025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45667</v>
      </c>
      <c r="E317" s="1" t="n">
        <v>46229</v>
      </c>
      <c r="F317" t="inlineStr">
        <is>
          <t>HALLANDS LÄN</t>
        </is>
      </c>
      <c r="G317" t="inlineStr">
        <is>
          <t>KUNGSBACKA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2026-07-26T01:50:03Z</dcterms:created>
  <dcterms:modified xmlns:dcterms="http://purl.org/dc/terms/" xmlns:xsi="http://www.w3.org/2001/XMLSchema-instance" xsi:type="dcterms:W3CDTF">2026-07-26T01:50:04Z</dcterms:modified>
</cp:coreProperties>
</file>