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46234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46234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46234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46234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46234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46234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46234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46234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46234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46234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46234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46234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13932-2025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45737</v>
      </c>
      <c r="E19" s="1" t="n">
        <v>46234</v>
      </c>
      <c r="F19" t="inlineStr">
        <is>
          <t>HALLANDS LÄN</t>
        </is>
      </c>
      <c r="G19" t="inlineStr">
        <is>
          <t>KUNGSBACKA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HYPERLINK("https://klasma.github.io/Logging_1384/artfynd/A 13932-2025 artfynd.xlsx", "A 13932-2025")</f>
        <v/>
      </c>
      <c r="X19">
        <f>HYPERLINK("https://klasma.github.io/Logging_1384/kartor/A 13932-2025 karta.png", "A 13932-2025")</f>
        <v/>
      </c>
      <c r="Y19">
        <f>HYPERLINK("https://klasma.github.io/Logging_1384/kartor_geotiff/A 13932-2025 georefererad karta.tif", "A 13932-2025")</f>
        <v/>
      </c>
      <c r="AA19">
        <f>HYPERLINK("https://klasma.github.io/Logging_1384/klagomål/A 13932-2025 FSC-klagomål.docx", "A 13932-2025")</f>
        <v/>
      </c>
      <c r="AB19">
        <f>HYPERLINK("https://klasma.github.io/Logging_1384/klagomålsmail/A 13932-2025 FSC-klagomål mail.docx", "A 13932-2025")</f>
        <v/>
      </c>
      <c r="AC19">
        <f>HYPERLINK("https://klasma.github.io/Logging_1384/tillsyn/A 13932-2025 tillsynsbegäran.docx", "A 13932-2025")</f>
        <v/>
      </c>
      <c r="AD19">
        <f>HYPERLINK("https://klasma.github.io/Logging_1384/tillsynsmail/A 13932-2025 tillsynsbegäran mail.docx", "A 13932-2025")</f>
        <v/>
      </c>
    </row>
    <row r="20" ht="15" customHeight="1">
      <c r="A20" t="inlineStr">
        <is>
          <t>A 40024-2021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44418</v>
      </c>
      <c r="E20" s="1" t="n">
        <v>46234</v>
      </c>
      <c r="F20" t="inlineStr">
        <is>
          <t>HALLANDS LÄN</t>
        </is>
      </c>
      <c r="G20" t="inlineStr">
        <is>
          <t>KUNGSBACKA</t>
        </is>
      </c>
      <c r="I20" t="n">
        <v>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Duvhök</t>
        </is>
      </c>
      <c r="W20">
        <f>HYPERLINK("https://klasma.github.io/Logging_1384/artfynd/A 40024-2021 artfynd.xlsx", "A 40024-2021")</f>
        <v/>
      </c>
      <c r="X20">
        <f>HYPERLINK("https://klasma.github.io/Logging_1384/kartor/A 40024-2021 karta.png", "A 40024-2021")</f>
        <v/>
      </c>
      <c r="Y20">
        <f>HYPERLINK("https://klasma.github.io/Logging_1384/kartor_geotiff/A 40024-2021 georefererad karta.tif", "A 40024-2021")</f>
        <v/>
      </c>
      <c r="AA20">
        <f>HYPERLINK("https://klasma.github.io/Logging_1384/klagomål/A 40024-2021 FSC-klagomål.docx", "A 40024-2021")</f>
        <v/>
      </c>
      <c r="AB20">
        <f>HYPERLINK("https://klasma.github.io/Logging_1384/klagomålsmail/A 40024-2021 FSC-klagomål mail.docx", "A 40024-2021")</f>
        <v/>
      </c>
      <c r="AC20">
        <f>HYPERLINK("https://klasma.github.io/Logging_1384/tillsyn/A 40024-2021 tillsynsbegäran.docx", "A 40024-2021")</f>
        <v/>
      </c>
      <c r="AD20">
        <f>HYPERLINK("https://klasma.github.io/Logging_1384/tillsynsmail/A 40024-2021 tillsynsbegäran mail.docx", "A 40024-2021")</f>
        <v/>
      </c>
      <c r="AE20">
        <f>HYPERLINK("https://klasma.github.io/Logging_1384/fåglar/A 40024-2021 prioriterade fågelarter.docx", "A 40024-2021")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46234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46234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46234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46234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11010-2025 artfynd.xlsx", "A 11010-2025")</f>
        <v/>
      </c>
      <c r="X24">
        <f>HYPERLINK("https://klasma.github.io/Logging_1384/kartor/A 11010-2025 karta.png", "A 11010-2025")</f>
        <v/>
      </c>
      <c r="Y24">
        <f>HYPERLINK("https://klasma.github.io/Logging_1384/kartor_geotiff/A 11010-2025 georefererad karta.tif", "A 11010-2025")</f>
        <v/>
      </c>
      <c r="AA24">
        <f>HYPERLINK("https://klasma.github.io/Logging_1384/klagomål/A 11010-2025 FSC-klagomål.docx", "A 11010-2025")</f>
        <v/>
      </c>
      <c r="AB24">
        <f>HYPERLINK("https://klasma.github.io/Logging_1384/klagomålsmail/A 11010-2025 FSC-klagomål mail.docx", "A 11010-2025")</f>
        <v/>
      </c>
      <c r="AC24">
        <f>HYPERLINK("https://klasma.github.io/Logging_1384/tillsyn/A 11010-2025 tillsynsbegäran.docx", "A 11010-2025")</f>
        <v/>
      </c>
      <c r="AD24">
        <f>HYPERLINK("https://klasma.github.io/Logging_1384/tillsynsmail/A 11010-2025 tillsynsbegäran mail.docx", "A 11010-2025")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46234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46234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46234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46234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46234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46234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46234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46234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46234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46234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46234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46234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46234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46234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46234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46234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46234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46234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46234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46234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9527-2024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46234</v>
      </c>
      <c r="F45" t="inlineStr">
        <is>
          <t>HALLANDS LÄN</t>
        </is>
      </c>
      <c r="G45" t="inlineStr">
        <is>
          <t>KUNGSBACKA</t>
        </is>
      </c>
      <c r="H45" t="inlineStr">
        <is>
          <t>Kyrkan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58324-2024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46234</v>
      </c>
      <c r="F46" t="inlineStr">
        <is>
          <t>HALLANDS LÄN</t>
        </is>
      </c>
      <c r="G46" t="inlineStr">
        <is>
          <t>KUNGSBACKA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46234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46234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46234</v>
      </c>
      <c r="F49" t="inlineStr">
        <is>
          <t>HALLANDS LÄN</t>
        </is>
      </c>
      <c r="G49" t="inlineStr">
        <is>
          <t>KUNGSBACKA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46234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46234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46234</v>
      </c>
      <c r="F52" t="inlineStr">
        <is>
          <t>HALLANDS LÄN</t>
        </is>
      </c>
      <c r="G52" t="inlineStr">
        <is>
          <t>KUNGSBACKA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46234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46234</v>
      </c>
      <c r="F54" t="inlineStr">
        <is>
          <t>HALLANDS LÄN</t>
        </is>
      </c>
      <c r="G54" t="inlineStr">
        <is>
          <t>KUNGSBACKA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45776</v>
      </c>
      <c r="E55" s="1" t="n">
        <v>46234</v>
      </c>
      <c r="F55" t="inlineStr">
        <is>
          <t>HALLANDS LÄN</t>
        </is>
      </c>
      <c r="G55" t="inlineStr">
        <is>
          <t>KUNGSBACKA</t>
        </is>
      </c>
      <c r="I55" t="n">
        <v>5.7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44967</v>
      </c>
      <c r="E56" s="1" t="n">
        <v>46234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46234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9965-2025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45719</v>
      </c>
      <c r="E58" s="1" t="n">
        <v>46234</v>
      </c>
      <c r="F58" t="inlineStr">
        <is>
          <t>HALLANDS LÄN</t>
        </is>
      </c>
      <c r="G58" t="inlineStr">
        <is>
          <t>KUNGSBACKA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9976-2025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45719</v>
      </c>
      <c r="E59" s="1" t="n">
        <v>46234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45940</v>
      </c>
      <c r="E60" s="1" t="n">
        <v>46234</v>
      </c>
      <c r="F60" t="inlineStr">
        <is>
          <t>HALLANDS LÄN</t>
        </is>
      </c>
      <c r="G60" t="inlineStr">
        <is>
          <t>KUNGSBACKA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11097-2023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44992</v>
      </c>
      <c r="E61" s="1" t="n">
        <v>46234</v>
      </c>
      <c r="F61" t="inlineStr">
        <is>
          <t>HALLANDS LÄN</t>
        </is>
      </c>
      <c r="G61" t="inlineStr">
        <is>
          <t>KUNGSBACKA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46234</v>
      </c>
      <c r="F62" t="inlineStr">
        <is>
          <t>HALLANDS LÄN</t>
        </is>
      </c>
      <c r="G62" t="inlineStr">
        <is>
          <t>KUNGSBACKA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45888</v>
      </c>
      <c r="E63" s="1" t="n">
        <v>46234</v>
      </c>
      <c r="F63" t="inlineStr">
        <is>
          <t>HALLANDS LÄN</t>
        </is>
      </c>
      <c r="G63" t="inlineStr">
        <is>
          <t>KUNGSBACKA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39292-2025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45889</v>
      </c>
      <c r="E64" s="1" t="n">
        <v>46234</v>
      </c>
      <c r="F64" t="inlineStr">
        <is>
          <t>HALLANDS LÄN</t>
        </is>
      </c>
      <c r="G64" t="inlineStr">
        <is>
          <t>KUNGSBACKA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46234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46234</v>
      </c>
      <c r="F66" t="inlineStr">
        <is>
          <t>HALLANDS LÄN</t>
        </is>
      </c>
      <c r="G66" t="inlineStr">
        <is>
          <t>KUNGSBACKA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46234</v>
      </c>
      <c r="F67" t="inlineStr">
        <is>
          <t>HALLANDS LÄN</t>
        </is>
      </c>
      <c r="G67" t="inlineStr">
        <is>
          <t>KUNGSBACKA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46234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46234</v>
      </c>
      <c r="F69" t="inlineStr">
        <is>
          <t>HALLANDS LÄN</t>
        </is>
      </c>
      <c r="G69" t="inlineStr">
        <is>
          <t>KUNGSBACKA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45035</v>
      </c>
      <c r="E70" s="1" t="n">
        <v>46234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46234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45733</v>
      </c>
      <c r="E72" s="1" t="n">
        <v>46234</v>
      </c>
      <c r="F72" t="inlineStr">
        <is>
          <t>HALLANDS LÄN</t>
        </is>
      </c>
      <c r="G72" t="inlineStr">
        <is>
          <t>KUNGSBACKA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46234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46234</v>
      </c>
      <c r="F74" t="inlineStr">
        <is>
          <t>HALLANDS LÄN</t>
        </is>
      </c>
      <c r="G74" t="inlineStr">
        <is>
          <t>KUNGSBACKA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62741-2022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44925</v>
      </c>
      <c r="E75" s="1" t="n">
        <v>46234</v>
      </c>
      <c r="F75" t="inlineStr">
        <is>
          <t>HALLANDS LÄN</t>
        </is>
      </c>
      <c r="G75" t="inlineStr">
        <is>
          <t>KUNGSBACKA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44925</v>
      </c>
      <c r="E76" s="1" t="n">
        <v>46234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25269-2025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45800</v>
      </c>
      <c r="E77" s="1" t="n">
        <v>46234</v>
      </c>
      <c r="F77" t="inlineStr">
        <is>
          <t>HALLANDS LÄN</t>
        </is>
      </c>
      <c r="G77" t="inlineStr">
        <is>
          <t>KUNGSBACKA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45653</v>
      </c>
      <c r="E78" s="1" t="n">
        <v>46234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46234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46234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46234</v>
      </c>
      <c r="F81" t="inlineStr">
        <is>
          <t>HALLANDS LÄN</t>
        </is>
      </c>
      <c r="G81" t="inlineStr">
        <is>
          <t>KUNGSBACKA</t>
        </is>
      </c>
      <c r="I81" t="n">
        <v>13.8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51523-2025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45950</v>
      </c>
      <c r="E82" s="1" t="n">
        <v>46234</v>
      </c>
      <c r="F82" t="inlineStr">
        <is>
          <t>HALLANDS LÄN</t>
        </is>
      </c>
      <c r="G82" t="inlineStr">
        <is>
          <t>KUNGSBACKA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45188</v>
      </c>
      <c r="E83" s="1" t="n">
        <v>46234</v>
      </c>
      <c r="F83" t="inlineStr">
        <is>
          <t>HALLANDS LÄN</t>
        </is>
      </c>
      <c r="G83" t="inlineStr">
        <is>
          <t>KUNGSBACKA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46234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11310-2024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45371</v>
      </c>
      <c r="E85" s="1" t="n">
        <v>46234</v>
      </c>
      <c r="F85" t="inlineStr">
        <is>
          <t>HALLANDS LÄN</t>
        </is>
      </c>
      <c r="G85" t="inlineStr">
        <is>
          <t>KUNGSBACKA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46234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45749</v>
      </c>
      <c r="E87" s="1" t="n">
        <v>46234</v>
      </c>
      <c r="F87" t="inlineStr">
        <is>
          <t>HALLANDS LÄN</t>
        </is>
      </c>
      <c r="G87" t="inlineStr">
        <is>
          <t>KUNGSBACKA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46234</v>
      </c>
      <c r="F88" t="inlineStr">
        <is>
          <t>HALLANDS LÄN</t>
        </is>
      </c>
      <c r="G88" t="inlineStr">
        <is>
          <t>KUNGSBACKA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46234</v>
      </c>
      <c r="F89" t="inlineStr">
        <is>
          <t>HALLANDS LÄN</t>
        </is>
      </c>
      <c r="G89" t="inlineStr">
        <is>
          <t>KUNGSBACKA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46234</v>
      </c>
      <c r="F90" t="inlineStr">
        <is>
          <t>HALLANDS LÄN</t>
        </is>
      </c>
      <c r="G90" t="inlineStr">
        <is>
          <t>KUNGSBACKA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46234</v>
      </c>
      <c r="F91" t="inlineStr">
        <is>
          <t>HALLANDS LÄN</t>
        </is>
      </c>
      <c r="G91" t="inlineStr">
        <is>
          <t>KUNGSBACKA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46234</v>
      </c>
      <c r="F92" t="inlineStr">
        <is>
          <t>HALLANDS LÄN</t>
        </is>
      </c>
      <c r="G92" t="inlineStr">
        <is>
          <t>KUNGSBACKA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46234</v>
      </c>
      <c r="F93" t="inlineStr">
        <is>
          <t>HALLANDS LÄN</t>
        </is>
      </c>
      <c r="G93" t="inlineStr">
        <is>
          <t>KUNGSBACKA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46234</v>
      </c>
      <c r="F94" t="inlineStr">
        <is>
          <t>HALLANDS LÄN</t>
        </is>
      </c>
      <c r="G94" t="inlineStr">
        <is>
          <t>KUNGSBACKA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46234</v>
      </c>
      <c r="F95" t="inlineStr">
        <is>
          <t>HALLANDS LÄN</t>
        </is>
      </c>
      <c r="G95" t="inlineStr">
        <is>
          <t>KUNGSBACKA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46234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46234</v>
      </c>
      <c r="F97" t="inlineStr">
        <is>
          <t>HALLANDS LÄN</t>
        </is>
      </c>
      <c r="G97" t="inlineStr">
        <is>
          <t>KUNGSBACKA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45532</v>
      </c>
      <c r="E98" s="1" t="n">
        <v>46234</v>
      </c>
      <c r="F98" t="inlineStr">
        <is>
          <t>HALLANDS LÄN</t>
        </is>
      </c>
      <c r="G98" t="inlineStr">
        <is>
          <t>KUNGSBACKA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46234</v>
      </c>
      <c r="F99" t="inlineStr">
        <is>
          <t>HALLANDS LÄN</t>
        </is>
      </c>
      <c r="G99" t="inlineStr">
        <is>
          <t>KUNGSBACKA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46234</v>
      </c>
      <c r="F100" t="inlineStr">
        <is>
          <t>HALLANDS LÄN</t>
        </is>
      </c>
      <c r="G100" t="inlineStr">
        <is>
          <t>KUNGSBACKA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46234</v>
      </c>
      <c r="F101" t="inlineStr">
        <is>
          <t>HALLANDS LÄN</t>
        </is>
      </c>
      <c r="G101" t="inlineStr">
        <is>
          <t>KUNGSBACKA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46234</v>
      </c>
      <c r="F102" t="inlineStr">
        <is>
          <t>HALLANDS LÄN</t>
        </is>
      </c>
      <c r="G102" t="inlineStr">
        <is>
          <t>KUNGSBACKA</t>
        </is>
      </c>
      <c r="I102" t="n">
        <v>15.2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45242</v>
      </c>
      <c r="E103" s="1" t="n">
        <v>46234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45242</v>
      </c>
      <c r="E104" s="1" t="n">
        <v>46234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46234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46234</v>
      </c>
      <c r="F106" t="inlineStr">
        <is>
          <t>HALLANDS LÄN</t>
        </is>
      </c>
      <c r="G106" t="inlineStr">
        <is>
          <t>KUNGSBACKA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45846</v>
      </c>
      <c r="E107" s="1" t="n">
        <v>46234</v>
      </c>
      <c r="F107" t="inlineStr">
        <is>
          <t>HALLANDS LÄN</t>
        </is>
      </c>
      <c r="G107" t="inlineStr">
        <is>
          <t>KUNGSBACKA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45848</v>
      </c>
      <c r="E108" s="1" t="n">
        <v>46234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46234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45014</v>
      </c>
      <c r="E110" s="1" t="n">
        <v>46234</v>
      </c>
      <c r="F110" t="inlineStr">
        <is>
          <t>HALLANDS LÄN</t>
        </is>
      </c>
      <c r="G110" t="inlineStr">
        <is>
          <t>KUNGSBACKA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34975-2025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45849</v>
      </c>
      <c r="E111" s="1" t="n">
        <v>46234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46234</v>
      </c>
      <c r="F112" t="inlineStr">
        <is>
          <t>HALLANDS LÄN</t>
        </is>
      </c>
      <c r="G112" t="inlineStr">
        <is>
          <t>KUNGSBACKA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45743</v>
      </c>
      <c r="E113" s="1" t="n">
        <v>46234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45968</v>
      </c>
      <c r="E114" s="1" t="n">
        <v>46234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45861</v>
      </c>
      <c r="E115" s="1" t="n">
        <v>46234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46234</v>
      </c>
      <c r="F116" t="inlineStr">
        <is>
          <t>HALLANDS LÄN</t>
        </is>
      </c>
      <c r="G116" t="inlineStr">
        <is>
          <t>KUNGSBACKA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46234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46234</v>
      </c>
      <c r="F118" t="inlineStr">
        <is>
          <t>HALLANDS LÄN</t>
        </is>
      </c>
      <c r="G118" t="inlineStr">
        <is>
          <t>KUNGSBACKA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45370</v>
      </c>
      <c r="E119" s="1" t="n">
        <v>46234</v>
      </c>
      <c r="F119" t="inlineStr">
        <is>
          <t>HALLANDS LÄN</t>
        </is>
      </c>
      <c r="G119" t="inlineStr">
        <is>
          <t>KUNGSBACKA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46234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46234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46234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46234</v>
      </c>
      <c r="F123" t="inlineStr">
        <is>
          <t>HALLANDS LÄN</t>
        </is>
      </c>
      <c r="G123" t="inlineStr">
        <is>
          <t>KUNGSBACKA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46234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46234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46234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46234</v>
      </c>
      <c r="F127" t="inlineStr">
        <is>
          <t>HALLANDS LÄN</t>
        </is>
      </c>
      <c r="G127" t="inlineStr">
        <is>
          <t>KUNGSBACKA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46234</v>
      </c>
      <c r="F128" t="inlineStr">
        <is>
          <t>HALLANDS LÄN</t>
        </is>
      </c>
      <c r="G128" t="inlineStr">
        <is>
          <t>KUNGSBACKA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46234</v>
      </c>
      <c r="F129" t="inlineStr">
        <is>
          <t>HALLANDS LÄN</t>
        </is>
      </c>
      <c r="G129" t="inlineStr">
        <is>
          <t>KUNGSBACKA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46234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45478</v>
      </c>
      <c r="E131" s="1" t="n">
        <v>46234</v>
      </c>
      <c r="F131" t="inlineStr">
        <is>
          <t>HALLANDS LÄN</t>
        </is>
      </c>
      <c r="G131" t="inlineStr">
        <is>
          <t>KUNGSBACKA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46234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46234</v>
      </c>
      <c r="F133" t="inlineStr">
        <is>
          <t>HALLANDS LÄN</t>
        </is>
      </c>
      <c r="G133" t="inlineStr">
        <is>
          <t>KUNGSBACKA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46234</v>
      </c>
      <c r="F134" t="inlineStr">
        <is>
          <t>HALLANDS LÄN</t>
        </is>
      </c>
      <c r="G134" t="inlineStr">
        <is>
          <t>KUNGSBACKA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46234</v>
      </c>
      <c r="F135" t="inlineStr">
        <is>
          <t>HALLANDS LÄN</t>
        </is>
      </c>
      <c r="G135" t="inlineStr">
        <is>
          <t>KUNGSBACKA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46234</v>
      </c>
      <c r="F136" t="inlineStr">
        <is>
          <t>HALLANDS LÄN</t>
        </is>
      </c>
      <c r="G136" t="inlineStr">
        <is>
          <t>KUNGSBACKA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46234</v>
      </c>
      <c r="F137" t="inlineStr">
        <is>
          <t>HALLANDS LÄN</t>
        </is>
      </c>
      <c r="G137" t="inlineStr">
        <is>
          <t>KUNGSBACKA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45635</v>
      </c>
      <c r="E138" s="1" t="n">
        <v>46234</v>
      </c>
      <c r="F138" t="inlineStr">
        <is>
          <t>HALLANDS LÄN</t>
        </is>
      </c>
      <c r="G138" t="inlineStr">
        <is>
          <t>KUNGSBACKA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46234</v>
      </c>
      <c r="F139" t="inlineStr">
        <is>
          <t>HALLANDS LÄN</t>
        </is>
      </c>
      <c r="G139" t="inlineStr">
        <is>
          <t>KUNGSBACKA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46234</v>
      </c>
      <c r="F140" t="inlineStr">
        <is>
          <t>HALLANDS LÄN</t>
        </is>
      </c>
      <c r="G140" t="inlineStr">
        <is>
          <t>KUNGSBACKA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46234</v>
      </c>
      <c r="F141" t="inlineStr">
        <is>
          <t>HALLANDS LÄN</t>
        </is>
      </c>
      <c r="G141" t="inlineStr">
        <is>
          <t>KUNGSBACKA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46234</v>
      </c>
      <c r="F142" t="inlineStr">
        <is>
          <t>HALLANDS LÄN</t>
        </is>
      </c>
      <c r="G142" t="inlineStr">
        <is>
          <t>KUNGSBACKA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46234</v>
      </c>
      <c r="F143" t="inlineStr">
        <is>
          <t>HALLANDS LÄN</t>
        </is>
      </c>
      <c r="G143" t="inlineStr">
        <is>
          <t>KUNGSBACKA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46234</v>
      </c>
      <c r="F144" t="inlineStr">
        <is>
          <t>HALLANDS LÄN</t>
        </is>
      </c>
      <c r="G144" t="inlineStr">
        <is>
          <t>KUNGSBACKA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45028</v>
      </c>
      <c r="E145" s="1" t="n">
        <v>46234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46234</v>
      </c>
      <c r="F146" t="inlineStr">
        <is>
          <t>HALLANDS LÄN</t>
        </is>
      </c>
      <c r="G146" t="inlineStr">
        <is>
          <t>KUNGSBACKA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46234</v>
      </c>
      <c r="F147" t="inlineStr">
        <is>
          <t>HALLANDS LÄN</t>
        </is>
      </c>
      <c r="G147" t="inlineStr">
        <is>
          <t>KUNGSBACKA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46234</v>
      </c>
      <c r="F148" t="inlineStr">
        <is>
          <t>HALLANDS LÄN</t>
        </is>
      </c>
      <c r="G148" t="inlineStr">
        <is>
          <t>KUNGSBACKA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46234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45118</v>
      </c>
      <c r="E150" s="1" t="n">
        <v>46234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45478</v>
      </c>
      <c r="E151" s="1" t="n">
        <v>46234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45686</v>
      </c>
      <c r="E152" s="1" t="n">
        <v>46234</v>
      </c>
      <c r="F152" t="inlineStr">
        <is>
          <t>HALLANDS LÄN</t>
        </is>
      </c>
      <c r="G152" t="inlineStr">
        <is>
          <t>KUNGSBACKA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46234</v>
      </c>
      <c r="F153" t="inlineStr">
        <is>
          <t>HALLANDS LÄN</t>
        </is>
      </c>
      <c r="G153" t="inlineStr">
        <is>
          <t>KUNGSBACKA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46234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46234</v>
      </c>
      <c r="F155" t="inlineStr">
        <is>
          <t>HALLANDS LÄN</t>
        </is>
      </c>
      <c r="G155" t="inlineStr">
        <is>
          <t>KUNGSBACKA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46234</v>
      </c>
      <c r="F156" t="inlineStr">
        <is>
          <t>HALLANDS LÄN</t>
        </is>
      </c>
      <c r="G156" t="inlineStr">
        <is>
          <t>KUNGSBACKA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46234</v>
      </c>
      <c r="F157" t="inlineStr">
        <is>
          <t>HALLANDS LÄN</t>
        </is>
      </c>
      <c r="G157" t="inlineStr">
        <is>
          <t>KUNGSBACKA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46234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46234</v>
      </c>
      <c r="F159" t="inlineStr">
        <is>
          <t>HALLANDS LÄN</t>
        </is>
      </c>
      <c r="G159" t="inlineStr">
        <is>
          <t>KUNGSBACKA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46234</v>
      </c>
      <c r="F160" t="inlineStr">
        <is>
          <t>HALLANDS LÄN</t>
        </is>
      </c>
      <c r="G160" t="inlineStr">
        <is>
          <t>KUNGSBACKA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46234</v>
      </c>
      <c r="F161" t="inlineStr">
        <is>
          <t>HALLANDS LÄN</t>
        </is>
      </c>
      <c r="G161" t="inlineStr">
        <is>
          <t>KUNGSBACKA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46234</v>
      </c>
      <c r="F162" t="inlineStr">
        <is>
          <t>HALLANDS LÄN</t>
        </is>
      </c>
      <c r="G162" t="inlineStr">
        <is>
          <t>KUNGSBACKA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46234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46234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46234</v>
      </c>
      <c r="F165" t="inlineStr">
        <is>
          <t>HALLANDS LÄN</t>
        </is>
      </c>
      <c r="G165" t="inlineStr">
        <is>
          <t>KUNGSBACKA</t>
        </is>
      </c>
      <c r="H165" t="inlineStr">
        <is>
          <t>Kyrkan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46234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46234</v>
      </c>
      <c r="F167" t="inlineStr">
        <is>
          <t>HALLANDS LÄN</t>
        </is>
      </c>
      <c r="G167" t="inlineStr">
        <is>
          <t>KUNGSBACKA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46234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46234</v>
      </c>
      <c r="F169" t="inlineStr">
        <is>
          <t>HALLANDS LÄN</t>
        </is>
      </c>
      <c r="G169" t="inlineStr">
        <is>
          <t>KUNGSBACKA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46234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46234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46234</v>
      </c>
      <c r="F172" t="inlineStr">
        <is>
          <t>HALLANDS LÄN</t>
        </is>
      </c>
      <c r="G172" t="inlineStr">
        <is>
          <t>KUNGSBACKA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46234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45323</v>
      </c>
      <c r="E174" s="1" t="n">
        <v>46234</v>
      </c>
      <c r="F174" t="inlineStr">
        <is>
          <t>HALLANDS LÄN</t>
        </is>
      </c>
      <c r="G174" t="inlineStr">
        <is>
          <t>KUNGSBACKA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59623-2024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45638</v>
      </c>
      <c r="E175" s="1" t="n">
        <v>46234</v>
      </c>
      <c r="F175" t="inlineStr">
        <is>
          <t>HALLANDS LÄN</t>
        </is>
      </c>
      <c r="G175" t="inlineStr">
        <is>
          <t>KUNGSBACKA</t>
        </is>
      </c>
      <c r="I175" t="n">
        <v>19.2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44748</v>
      </c>
      <c r="E176" s="1" t="n">
        <v>46234</v>
      </c>
      <c r="F176" t="inlineStr">
        <is>
          <t>HALLANDS LÄN</t>
        </is>
      </c>
      <c r="G176" t="inlineStr">
        <is>
          <t>KUNGSBACKA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46234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46234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46234</v>
      </c>
      <c r="F179" t="inlineStr">
        <is>
          <t>HALLANDS LÄN</t>
        </is>
      </c>
      <c r="G179" t="inlineStr">
        <is>
          <t>KUNGSBACKA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16075-2025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45749</v>
      </c>
      <c r="E180" s="1" t="n">
        <v>46234</v>
      </c>
      <c r="F180" t="inlineStr">
        <is>
          <t>HALLANDS LÄN</t>
        </is>
      </c>
      <c r="G180" t="inlineStr">
        <is>
          <t>KUNGSBACKA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44775</v>
      </c>
      <c r="E181" s="1" t="n">
        <v>46234</v>
      </c>
      <c r="F181" t="inlineStr">
        <is>
          <t>HALLANDS LÄN</t>
        </is>
      </c>
      <c r="G181" t="inlineStr">
        <is>
          <t>KUNGSBACKA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46234</v>
      </c>
      <c r="F182" t="inlineStr">
        <is>
          <t>HALLANDS LÄN</t>
        </is>
      </c>
      <c r="G182" t="inlineStr">
        <is>
          <t>KUNGSBACKA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46052</v>
      </c>
      <c r="E183" s="1" t="n">
        <v>46234</v>
      </c>
      <c r="F183" t="inlineStr">
        <is>
          <t>HALLANDS LÄN</t>
        </is>
      </c>
      <c r="G183" t="inlineStr">
        <is>
          <t>KUNGSBACKA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46054</v>
      </c>
      <c r="E184" s="1" t="n">
        <v>46234</v>
      </c>
      <c r="F184" t="inlineStr">
        <is>
          <t>HALLANDS LÄN</t>
        </is>
      </c>
      <c r="G184" t="inlineStr">
        <is>
          <t>KUNGSBACKA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46054</v>
      </c>
      <c r="E185" s="1" t="n">
        <v>46234</v>
      </c>
      <c r="F185" t="inlineStr">
        <is>
          <t>HALLANDS LÄN</t>
        </is>
      </c>
      <c r="G185" t="inlineStr">
        <is>
          <t>KUNGSBACKA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46054</v>
      </c>
      <c r="E186" s="1" t="n">
        <v>46234</v>
      </c>
      <c r="F186" t="inlineStr">
        <is>
          <t>HALLANDS LÄN</t>
        </is>
      </c>
      <c r="G186" t="inlineStr">
        <is>
          <t>KUNGSBACKA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46234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46234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45329</v>
      </c>
      <c r="E189" s="1" t="n">
        <v>46234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46234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71676-2021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46234</v>
      </c>
      <c r="F191" t="inlineStr">
        <is>
          <t>HALLANDS LÄN</t>
        </is>
      </c>
      <c r="G191" t="inlineStr">
        <is>
          <t>KUNGSBACKA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8167-2026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46063</v>
      </c>
      <c r="E192" s="1" t="n">
        <v>46234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46234</v>
      </c>
      <c r="F193" t="inlineStr">
        <is>
          <t>HALLANDS LÄN</t>
        </is>
      </c>
      <c r="G193" t="inlineStr">
        <is>
          <t>KUNGSBACKA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46234</v>
      </c>
      <c r="F194" t="inlineStr">
        <is>
          <t>HALLANDS LÄN</t>
        </is>
      </c>
      <c r="G194" t="inlineStr">
        <is>
          <t>KUNGSBACKA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45656</v>
      </c>
      <c r="E195" s="1" t="n">
        <v>46234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45656</v>
      </c>
      <c r="E196" s="1" t="n">
        <v>46234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46234</v>
      </c>
      <c r="F197" t="inlineStr">
        <is>
          <t>HALLANDS LÄN</t>
        </is>
      </c>
      <c r="G197" t="inlineStr">
        <is>
          <t>KUNGSBACKA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46078</v>
      </c>
      <c r="E198" s="1" t="n">
        <v>46234</v>
      </c>
      <c r="F198" t="inlineStr">
        <is>
          <t>HALLANDS LÄN</t>
        </is>
      </c>
      <c r="G198" t="inlineStr">
        <is>
          <t>KUNGSBACKA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8170-2026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46063</v>
      </c>
      <c r="E199" s="1" t="n">
        <v>46234</v>
      </c>
      <c r="F199" t="inlineStr">
        <is>
          <t>HALLANDS LÄN</t>
        </is>
      </c>
      <c r="G199" t="inlineStr">
        <is>
          <t>KUNGSBACKA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45742</v>
      </c>
      <c r="E200" s="1" t="n">
        <v>46234</v>
      </c>
      <c r="F200" t="inlineStr">
        <is>
          <t>HALLANDS LÄN</t>
        </is>
      </c>
      <c r="G200" t="inlineStr">
        <is>
          <t>KUNGSBACKA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45288</v>
      </c>
      <c r="E201" s="1" t="n">
        <v>46234</v>
      </c>
      <c r="F201" t="inlineStr">
        <is>
          <t>HALLANDS LÄN</t>
        </is>
      </c>
      <c r="G201" t="inlineStr">
        <is>
          <t>KUNGSBACKA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44869</v>
      </c>
      <c r="E202" s="1" t="n">
        <v>46234</v>
      </c>
      <c r="F202" t="inlineStr">
        <is>
          <t>HALLANDS LÄN</t>
        </is>
      </c>
      <c r="G202" t="inlineStr">
        <is>
          <t>KUNGSBACKA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46234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46234</v>
      </c>
      <c r="F204" t="inlineStr">
        <is>
          <t>HALLANDS LÄN</t>
        </is>
      </c>
      <c r="G204" t="inlineStr">
        <is>
          <t>KUNGSBACKA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45756</v>
      </c>
      <c r="E205" s="1" t="n">
        <v>46234</v>
      </c>
      <c r="F205" t="inlineStr">
        <is>
          <t>HALLANDS LÄN</t>
        </is>
      </c>
      <c r="G205" t="inlineStr">
        <is>
          <t>KUNGSBACKA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46234</v>
      </c>
      <c r="F206" t="inlineStr">
        <is>
          <t>HALLANDS LÄN</t>
        </is>
      </c>
      <c r="G206" t="inlineStr">
        <is>
          <t>KUNGSBACKA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46234</v>
      </c>
      <c r="F207" t="inlineStr">
        <is>
          <t>HALLANDS LÄN</t>
        </is>
      </c>
      <c r="G207" t="inlineStr">
        <is>
          <t>KUNGSBACKA</t>
        </is>
      </c>
      <c r="I207" t="n">
        <v>18.8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46234</v>
      </c>
      <c r="F208" t="inlineStr">
        <is>
          <t>HALLANDS LÄN</t>
        </is>
      </c>
      <c r="G208" t="inlineStr">
        <is>
          <t>KUNGSBACKA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45096</v>
      </c>
      <c r="E209" s="1" t="n">
        <v>46234</v>
      </c>
      <c r="F209" t="inlineStr">
        <is>
          <t>HALLANDS LÄN</t>
        </is>
      </c>
      <c r="G209" t="inlineStr">
        <is>
          <t>KUNGSBACKA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46234</v>
      </c>
      <c r="F210" t="inlineStr">
        <is>
          <t>HALLANDS LÄN</t>
        </is>
      </c>
      <c r="G210" t="inlineStr">
        <is>
          <t>KUNGSBACKA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46234</v>
      </c>
      <c r="F211" t="inlineStr">
        <is>
          <t>HALLANDS LÄN</t>
        </is>
      </c>
      <c r="G211" t="inlineStr">
        <is>
          <t>KUNGSBACKA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46234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46234</v>
      </c>
      <c r="F213" t="inlineStr">
        <is>
          <t>HALLANDS LÄN</t>
        </is>
      </c>
      <c r="G213" t="inlineStr">
        <is>
          <t>KUNGSBACKA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44971</v>
      </c>
      <c r="E214" s="1" t="n">
        <v>46234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46234</v>
      </c>
      <c r="F215" t="inlineStr">
        <is>
          <t>HALLANDS LÄN</t>
        </is>
      </c>
      <c r="G215" t="inlineStr">
        <is>
          <t>KUNGSBACKA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46234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46234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46234</v>
      </c>
      <c r="F218" t="inlineStr">
        <is>
          <t>HALLANDS LÄN</t>
        </is>
      </c>
      <c r="G218" t="inlineStr">
        <is>
          <t>KUNGSBACKA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46125</v>
      </c>
      <c r="E219" s="1" t="n">
        <v>46234</v>
      </c>
      <c r="F219" t="inlineStr">
        <is>
          <t>HALLANDS LÄN</t>
        </is>
      </c>
      <c r="G219" t="inlineStr">
        <is>
          <t>KUNGSBACKA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44684</v>
      </c>
      <c r="E220" s="1" t="n">
        <v>46234</v>
      </c>
      <c r="F220" t="inlineStr">
        <is>
          <t>HALLANDS LÄN</t>
        </is>
      </c>
      <c r="G220" t="inlineStr">
        <is>
          <t>KUNGSBACKA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46234</v>
      </c>
      <c r="F221" t="inlineStr">
        <is>
          <t>HALLANDS LÄN</t>
        </is>
      </c>
      <c r="G221" t="inlineStr">
        <is>
          <t>KUNGSBACKA</t>
        </is>
      </c>
      <c r="I221" t="n">
        <v>19.2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46234</v>
      </c>
      <c r="F222" t="inlineStr">
        <is>
          <t>HALLANDS LÄN</t>
        </is>
      </c>
      <c r="G222" t="inlineStr">
        <is>
          <t>KUNGSBACKA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46234</v>
      </c>
      <c r="F223" t="inlineStr">
        <is>
          <t>HALLANDS LÄN</t>
        </is>
      </c>
      <c r="G223" t="inlineStr">
        <is>
          <t>KUNGSBACKA</t>
        </is>
      </c>
      <c r="H223" t="inlineStr">
        <is>
          <t>Övriga Aktiebolag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39418-2021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44414</v>
      </c>
      <c r="E224" s="1" t="n">
        <v>46234</v>
      </c>
      <c r="F224" t="inlineStr">
        <is>
          <t>HALLANDS LÄN</t>
        </is>
      </c>
      <c r="G224" t="inlineStr">
        <is>
          <t>KUNGSBACKA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46234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45113</v>
      </c>
      <c r="E226" s="1" t="n">
        <v>46234</v>
      </c>
      <c r="F226" t="inlineStr">
        <is>
          <t>HALLANDS LÄN</t>
        </is>
      </c>
      <c r="G226" t="inlineStr">
        <is>
          <t>KUNGSBACKA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46234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45801</v>
      </c>
      <c r="E228" s="1" t="n">
        <v>46234</v>
      </c>
      <c r="F228" t="inlineStr">
        <is>
          <t>HALLANDS LÄN</t>
        </is>
      </c>
      <c r="G228" t="inlineStr">
        <is>
          <t>KUNGSBACKA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46234</v>
      </c>
      <c r="F229" t="inlineStr">
        <is>
          <t>HALLANDS LÄN</t>
        </is>
      </c>
      <c r="G229" t="inlineStr">
        <is>
          <t>KUNGSBACKA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45504</v>
      </c>
      <c r="E230" s="1" t="n">
        <v>46234</v>
      </c>
      <c r="F230" t="inlineStr">
        <is>
          <t>HALLANDS LÄN</t>
        </is>
      </c>
      <c r="G230" t="inlineStr">
        <is>
          <t>KUNGSBACKA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46234</v>
      </c>
      <c r="F231" t="inlineStr">
        <is>
          <t>HALLANDS LÄN</t>
        </is>
      </c>
      <c r="G231" t="inlineStr">
        <is>
          <t>KUNGSBACKA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46234</v>
      </c>
      <c r="F232" t="inlineStr">
        <is>
          <t>HALLANDS LÄN</t>
        </is>
      </c>
      <c r="G232" t="inlineStr">
        <is>
          <t>KUNGSBACKA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46234</v>
      </c>
      <c r="F233" t="inlineStr">
        <is>
          <t>HALLANDS LÄN</t>
        </is>
      </c>
      <c r="G233" t="inlineStr">
        <is>
          <t>KUNGSBACKA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46234</v>
      </c>
      <c r="F234" t="inlineStr">
        <is>
          <t>HALLANDS LÄN</t>
        </is>
      </c>
      <c r="G234" t="inlineStr">
        <is>
          <t>KUNGSBACKA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46234</v>
      </c>
      <c r="F235" t="inlineStr">
        <is>
          <t>HALLANDS LÄN</t>
        </is>
      </c>
      <c r="G235" t="inlineStr">
        <is>
          <t>KUNGSBACKA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45436</v>
      </c>
      <c r="E236" s="1" t="n">
        <v>46234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46234</v>
      </c>
      <c r="F237" t="inlineStr">
        <is>
          <t>HALLANDS LÄN</t>
        </is>
      </c>
      <c r="G237" t="inlineStr">
        <is>
          <t>KUNGSBACKA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46234</v>
      </c>
      <c r="F238" t="inlineStr">
        <is>
          <t>HALLANDS LÄN</t>
        </is>
      </c>
      <c r="G238" t="inlineStr">
        <is>
          <t>KUNGSBACKA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46234</v>
      </c>
      <c r="F239" t="inlineStr">
        <is>
          <t>HALLANDS LÄN</t>
        </is>
      </c>
      <c r="G239" t="inlineStr">
        <is>
          <t>KUNGSBACKA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45728</v>
      </c>
      <c r="E240" s="1" t="n">
        <v>46234</v>
      </c>
      <c r="F240" t="inlineStr">
        <is>
          <t>HALLANDS LÄN</t>
        </is>
      </c>
      <c r="G240" t="inlineStr">
        <is>
          <t>KUNGSBACKA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45719</v>
      </c>
      <c r="E241" s="1" t="n">
        <v>46234</v>
      </c>
      <c r="F241" t="inlineStr">
        <is>
          <t>HALLANDS LÄN</t>
        </is>
      </c>
      <c r="G241" t="inlineStr">
        <is>
          <t>KUNGSBACKA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10140-2025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45719</v>
      </c>
      <c r="E242" s="1" t="n">
        <v>46234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46234</v>
      </c>
      <c r="F243" t="inlineStr">
        <is>
          <t>HALLANDS LÄN</t>
        </is>
      </c>
      <c r="G243" t="inlineStr">
        <is>
          <t>KUNGSBACKA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45691</v>
      </c>
      <c r="E244" s="1" t="n">
        <v>46234</v>
      </c>
      <c r="F244" t="inlineStr">
        <is>
          <t>HALLANDS LÄN</t>
        </is>
      </c>
      <c r="G244" t="inlineStr">
        <is>
          <t>KUNGSBACKA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45205</v>
      </c>
      <c r="E245" s="1" t="n">
        <v>46234</v>
      </c>
      <c r="F245" t="inlineStr">
        <is>
          <t>HALLANDS LÄN</t>
        </is>
      </c>
      <c r="G245" t="inlineStr">
        <is>
          <t>KUNGSBACKA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46234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46234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46234</v>
      </c>
      <c r="F248" t="inlineStr">
        <is>
          <t>HALLANDS LÄN</t>
        </is>
      </c>
      <c r="G248" t="inlineStr">
        <is>
          <t>KUNGSBACKA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45335</v>
      </c>
      <c r="E249" s="1" t="n">
        <v>46234</v>
      </c>
      <c r="F249" t="inlineStr">
        <is>
          <t>HALLANDS LÄN</t>
        </is>
      </c>
      <c r="G249" t="inlineStr">
        <is>
          <t>KUNGSBACKA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45729</v>
      </c>
      <c r="E250" s="1" t="n">
        <v>46234</v>
      </c>
      <c r="F250" t="inlineStr">
        <is>
          <t>HALLANDS LÄN</t>
        </is>
      </c>
      <c r="G250" t="inlineStr">
        <is>
          <t>KUNGSBACKA</t>
        </is>
      </c>
      <c r="H250" t="inlineStr">
        <is>
          <t>Övriga Aktiebolag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45504</v>
      </c>
      <c r="E251" s="1" t="n">
        <v>46234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44601</v>
      </c>
      <c r="E252" s="1" t="n">
        <v>46234</v>
      </c>
      <c r="F252" t="inlineStr">
        <is>
          <t>HALLANDS LÄN</t>
        </is>
      </c>
      <c r="G252" t="inlineStr">
        <is>
          <t>KUNGSBACKA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45560</v>
      </c>
      <c r="E253" s="1" t="n">
        <v>46234</v>
      </c>
      <c r="F253" t="inlineStr">
        <is>
          <t>HALLANDS LÄN</t>
        </is>
      </c>
      <c r="G253" t="inlineStr">
        <is>
          <t>KUNGSBACKA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46234</v>
      </c>
      <c r="F254" t="inlineStr">
        <is>
          <t>HALLANDS LÄN</t>
        </is>
      </c>
      <c r="G254" t="inlineStr">
        <is>
          <t>KUNGSBACKA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46234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45131</v>
      </c>
      <c r="E256" s="1" t="n">
        <v>46234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45131</v>
      </c>
      <c r="E257" s="1" t="n">
        <v>46234</v>
      </c>
      <c r="F257" t="inlineStr">
        <is>
          <t>HALLANDS LÄN</t>
        </is>
      </c>
      <c r="G257" t="inlineStr">
        <is>
          <t>KUNGSBACKA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46234</v>
      </c>
      <c r="F258" t="inlineStr">
        <is>
          <t>HALLANDS LÄN</t>
        </is>
      </c>
      <c r="G258" t="inlineStr">
        <is>
          <t>KUNGSBACKA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46234</v>
      </c>
      <c r="F259" t="inlineStr">
        <is>
          <t>HALLANDS LÄN</t>
        </is>
      </c>
      <c r="G259" t="inlineStr">
        <is>
          <t>KUNGSBACKA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45744</v>
      </c>
      <c r="E260" s="1" t="n">
        <v>46234</v>
      </c>
      <c r="F260" t="inlineStr">
        <is>
          <t>HALLANDS LÄN</t>
        </is>
      </c>
      <c r="G260" t="inlineStr">
        <is>
          <t>KUNGSBACKA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10137-2025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45719</v>
      </c>
      <c r="E261" s="1" t="n">
        <v>46234</v>
      </c>
      <c r="F261" t="inlineStr">
        <is>
          <t>HALLANDS LÄN</t>
        </is>
      </c>
      <c r="G261" t="inlineStr">
        <is>
          <t>KUNGSBACKA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46234</v>
      </c>
      <c r="F262" t="inlineStr">
        <is>
          <t>HALLANDS LÄN</t>
        </is>
      </c>
      <c r="G262" t="inlineStr">
        <is>
          <t>KUNGSBACKA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31302-2022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44773</v>
      </c>
      <c r="E263" s="1" t="n">
        <v>46234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53051-2021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44467</v>
      </c>
      <c r="E264" s="1" t="n">
        <v>46234</v>
      </c>
      <c r="F264" t="inlineStr">
        <is>
          <t>HALLANDS LÄN</t>
        </is>
      </c>
      <c r="G264" t="inlineStr">
        <is>
          <t>KUNGSBACKA</t>
        </is>
      </c>
      <c r="H264" t="inlineStr">
        <is>
          <t>Kommuner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17293-2025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45756</v>
      </c>
      <c r="E265" s="1" t="n">
        <v>46234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46234</v>
      </c>
      <c r="F266" t="inlineStr">
        <is>
          <t>HALLANDS LÄN</t>
        </is>
      </c>
      <c r="G266" t="inlineStr">
        <is>
          <t>KUNGSBACKA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45461</v>
      </c>
      <c r="E267" s="1" t="n">
        <v>46234</v>
      </c>
      <c r="F267" t="inlineStr">
        <is>
          <t>HALLANDS LÄN</t>
        </is>
      </c>
      <c r="G267" t="inlineStr">
        <is>
          <t>KUNGSBACKA</t>
        </is>
      </c>
      <c r="H267" t="inlineStr">
        <is>
          <t>Kommuner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46234</v>
      </c>
      <c r="F268" t="inlineStr">
        <is>
          <t>HALLANDS LÄN</t>
        </is>
      </c>
      <c r="G268" t="inlineStr">
        <is>
          <t>KUNGSBACKA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46197</v>
      </c>
      <c r="E269" s="1" t="n">
        <v>46234</v>
      </c>
      <c r="F269" t="inlineStr">
        <is>
          <t>HALLANDS LÄN</t>
        </is>
      </c>
      <c r="G269" t="inlineStr">
        <is>
          <t>KUNGSBACKA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45653</v>
      </c>
      <c r="E270" s="1" t="n">
        <v>46234</v>
      </c>
      <c r="F270" t="inlineStr">
        <is>
          <t>HALLANDS LÄN</t>
        </is>
      </c>
      <c r="G270" t="inlineStr">
        <is>
          <t>KUNGSBACKA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46234</v>
      </c>
      <c r="F271" t="inlineStr">
        <is>
          <t>HALLANDS LÄN</t>
        </is>
      </c>
      <c r="G271" t="inlineStr">
        <is>
          <t>KUNGSBACKA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14052-2023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45008</v>
      </c>
      <c r="E272" s="1" t="n">
        <v>46234</v>
      </c>
      <c r="F272" t="inlineStr">
        <is>
          <t>HALLANDS LÄN</t>
        </is>
      </c>
      <c r="G272" t="inlineStr">
        <is>
          <t>KUNGSBACKA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45743</v>
      </c>
      <c r="E273" s="1" t="n">
        <v>46234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46234</v>
      </c>
      <c r="F274" t="inlineStr">
        <is>
          <t>HALLANDS LÄN</t>
        </is>
      </c>
      <c r="G274" t="inlineStr">
        <is>
          <t>KUNGSBACKA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46234</v>
      </c>
      <c r="F275" t="inlineStr">
        <is>
          <t>HALLANDS LÄN</t>
        </is>
      </c>
      <c r="G275" t="inlineStr">
        <is>
          <t>KUNGSBACKA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46234</v>
      </c>
      <c r="F276" t="inlineStr">
        <is>
          <t>HALLANDS LÄN</t>
        </is>
      </c>
      <c r="G276" t="inlineStr">
        <is>
          <t>KUNGSBACKA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45741</v>
      </c>
      <c r="E277" s="1" t="n">
        <v>46234</v>
      </c>
      <c r="F277" t="inlineStr">
        <is>
          <t>HALLANDS LÄN</t>
        </is>
      </c>
      <c r="G277" t="inlineStr">
        <is>
          <t>KUNGSBACKA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44674-2025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45917</v>
      </c>
      <c r="E278" s="1" t="n">
        <v>46234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46234</v>
      </c>
      <c r="F279" t="inlineStr">
        <is>
          <t>HALLANDS LÄN</t>
        </is>
      </c>
      <c r="G279" t="inlineStr">
        <is>
          <t>KUNGSBACKA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46234</v>
      </c>
      <c r="F280" t="inlineStr">
        <is>
          <t>HALLANDS LÄN</t>
        </is>
      </c>
      <c r="G280" t="inlineStr">
        <is>
          <t>KUNGSBACKA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46234</v>
      </c>
      <c r="F281" t="inlineStr">
        <is>
          <t>HALLANDS LÄN</t>
        </is>
      </c>
      <c r="G281" t="inlineStr">
        <is>
          <t>KUNGSBACKA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46234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44997</v>
      </c>
      <c r="E283" s="1" t="n">
        <v>46234</v>
      </c>
      <c r="F283" t="inlineStr">
        <is>
          <t>HALLANDS LÄN</t>
        </is>
      </c>
      <c r="G283" t="inlineStr">
        <is>
          <t>KUNGSBACKA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46234</v>
      </c>
      <c r="F284" t="inlineStr">
        <is>
          <t>HALLANDS LÄN</t>
        </is>
      </c>
      <c r="G284" t="inlineStr">
        <is>
          <t>KUNGSBACKA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45510</v>
      </c>
      <c r="E285" s="1" t="n">
        <v>46234</v>
      </c>
      <c r="F285" t="inlineStr">
        <is>
          <t>HALLANDS LÄN</t>
        </is>
      </c>
      <c r="G285" t="inlineStr">
        <is>
          <t>KUNGSBACKA</t>
        </is>
      </c>
      <c r="H285" t="inlineStr">
        <is>
          <t>Kyrkan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45323</v>
      </c>
      <c r="E286" s="1" t="n">
        <v>46234</v>
      </c>
      <c r="F286" t="inlineStr">
        <is>
          <t>HALLANDS LÄN</t>
        </is>
      </c>
      <c r="G286" t="inlineStr">
        <is>
          <t>KUNGSBACKA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37995-2025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45881</v>
      </c>
      <c r="E287" s="1" t="n">
        <v>46234</v>
      </c>
      <c r="F287" t="inlineStr">
        <is>
          <t>HALLANDS LÄN</t>
        </is>
      </c>
      <c r="G287" t="inlineStr">
        <is>
          <t>KUNGSBACKA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48754-2023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45208</v>
      </c>
      <c r="E288" s="1" t="n">
        <v>46234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46234</v>
      </c>
      <c r="F289" t="inlineStr">
        <is>
          <t>HALLANDS LÄN</t>
        </is>
      </c>
      <c r="G289" t="inlineStr">
        <is>
          <t>KUNGSBACKA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44468</v>
      </c>
      <c r="E290" s="1" t="n">
        <v>46234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46234</v>
      </c>
      <c r="F291" t="inlineStr">
        <is>
          <t>HALLANDS LÄN</t>
        </is>
      </c>
      <c r="G291" t="inlineStr">
        <is>
          <t>KUNGSBACKA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46234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45096</v>
      </c>
      <c r="E293" s="1" t="n">
        <v>46234</v>
      </c>
      <c r="F293" t="inlineStr">
        <is>
          <t>HALLANDS LÄN</t>
        </is>
      </c>
      <c r="G293" t="inlineStr">
        <is>
          <t>KUNGSBACKA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44869</v>
      </c>
      <c r="E294" s="1" t="n">
        <v>46234</v>
      </c>
      <c r="F294" t="inlineStr">
        <is>
          <t>HALLANDS LÄN</t>
        </is>
      </c>
      <c r="G294" t="inlineStr">
        <is>
          <t>KUNGSBACKA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46234</v>
      </c>
      <c r="F295" t="inlineStr">
        <is>
          <t>HALLANDS LÄN</t>
        </is>
      </c>
      <c r="G295" t="inlineStr">
        <is>
          <t>KUNGSBACKA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46234</v>
      </c>
      <c r="F296" t="inlineStr">
        <is>
          <t>HALLANDS LÄN</t>
        </is>
      </c>
      <c r="G296" t="inlineStr">
        <is>
          <t>KUNGSBACKA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42412-2022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46234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25337-2026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46176</v>
      </c>
      <c r="E298" s="1" t="n">
        <v>46234</v>
      </c>
      <c r="F298" t="inlineStr">
        <is>
          <t>HALLANDS LÄN</t>
        </is>
      </c>
      <c r="G298" t="inlineStr">
        <is>
          <t>KUNGSBACKA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46234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46234</v>
      </c>
      <c r="F300" t="inlineStr">
        <is>
          <t>HALLANDS LÄN</t>
        </is>
      </c>
      <c r="G300" t="inlineStr">
        <is>
          <t>KUNGSBACKA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46234</v>
      </c>
      <c r="F301" t="inlineStr">
        <is>
          <t>HALLANDS LÄN</t>
        </is>
      </c>
      <c r="G301" t="inlineStr">
        <is>
          <t>KUNGSBACKA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46234</v>
      </c>
      <c r="F302" t="inlineStr">
        <is>
          <t>HALLANDS LÄN</t>
        </is>
      </c>
      <c r="G302" t="inlineStr">
        <is>
          <t>KUNGSBACKA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25351-2026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46176</v>
      </c>
      <c r="E303" s="1" t="n">
        <v>46234</v>
      </c>
      <c r="F303" t="inlineStr">
        <is>
          <t>HALLANDS LÄN</t>
        </is>
      </c>
      <c r="G303" t="inlineStr">
        <is>
          <t>KUNGSBACKA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46234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46234</v>
      </c>
      <c r="F305" t="inlineStr">
        <is>
          <t>HALLANDS LÄN</t>
        </is>
      </c>
      <c r="G305" t="inlineStr">
        <is>
          <t>KUNGSBACKA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44693</v>
      </c>
      <c r="E306" s="1" t="n">
        <v>46234</v>
      </c>
      <c r="F306" t="inlineStr">
        <is>
          <t>HALLANDS LÄN</t>
        </is>
      </c>
      <c r="G306" t="inlineStr">
        <is>
          <t>KUNGSBACKA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44925</v>
      </c>
      <c r="E307" s="1" t="n">
        <v>46234</v>
      </c>
      <c r="F307" t="inlineStr">
        <is>
          <t>HALLANDS LÄN</t>
        </is>
      </c>
      <c r="G307" t="inlineStr">
        <is>
          <t>KUNGSBACKA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46234</v>
      </c>
      <c r="F308" t="inlineStr">
        <is>
          <t>HALLANDS LÄN</t>
        </is>
      </c>
      <c r="G308" t="inlineStr">
        <is>
          <t>KUNGSBACKA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46234</v>
      </c>
      <c r="F309" t="inlineStr">
        <is>
          <t>HALLANDS LÄN</t>
        </is>
      </c>
      <c r="G309" t="inlineStr">
        <is>
          <t>KUNGSBACKA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46234</v>
      </c>
      <c r="F310" t="inlineStr">
        <is>
          <t>HALLANDS LÄN</t>
        </is>
      </c>
      <c r="G310" t="inlineStr">
        <is>
          <t>KUNGSBACKA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46234</v>
      </c>
      <c r="F311" t="inlineStr">
        <is>
          <t>HALLANDS LÄN</t>
        </is>
      </c>
      <c r="G311" t="inlineStr">
        <is>
          <t>KUNGSBACKA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46234</v>
      </c>
      <c r="F312" t="inlineStr">
        <is>
          <t>HALLANDS LÄN</t>
        </is>
      </c>
      <c r="G312" t="inlineStr">
        <is>
          <t>KUNGSBACKA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26733-2026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46184</v>
      </c>
      <c r="E313" s="1" t="n">
        <v>46234</v>
      </c>
      <c r="F313" t="inlineStr">
        <is>
          <t>HALLANDS LÄN</t>
        </is>
      </c>
      <c r="G313" t="inlineStr">
        <is>
          <t>KUNGSBACKA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46234</v>
      </c>
      <c r="F314" t="inlineStr">
        <is>
          <t>HALLANDS LÄN</t>
        </is>
      </c>
      <c r="G314" t="inlineStr">
        <is>
          <t>KUNGSBACKA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46234</v>
      </c>
      <c r="F315" t="inlineStr">
        <is>
          <t>HALLANDS LÄN</t>
        </is>
      </c>
      <c r="G315" t="inlineStr">
        <is>
          <t>KUNGSBACKA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46184</v>
      </c>
      <c r="E316" s="1" t="n">
        <v>46234</v>
      </c>
      <c r="F316" t="inlineStr">
        <is>
          <t>HALLANDS LÄN</t>
        </is>
      </c>
      <c r="G316" t="inlineStr">
        <is>
          <t>KUNGSBACKA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46232</v>
      </c>
      <c r="E317" s="1" t="n">
        <v>46234</v>
      </c>
      <c r="F317" t="inlineStr">
        <is>
          <t>HALLANDS LÄN</t>
        </is>
      </c>
      <c r="G317" t="inlineStr">
        <is>
          <t>KUNGSBACKA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46234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2026-07-31T01:53:22Z</dcterms:created>
  <dcterms:modified xmlns:dcterms="http://purl.org/dc/terms/" xmlns:xsi="http://www.w3.org/2001/XMLSchema-instance" xsi:type="dcterms:W3CDTF">2026-07-31T01:53:22Z</dcterms:modified>
</cp:coreProperties>
</file>