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46193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38308-2025</t>
        </is>
      </c>
      <c r="B4" s="1" t="n">
        <v>45883</v>
      </c>
      <c r="C4" s="1" t="n">
        <v>46193</v>
      </c>
      <c r="D4" t="inlineStr">
        <is>
          <t>HALLANDS LÄN</t>
        </is>
      </c>
      <c r="E4" t="inlineStr">
        <is>
          <t>KUNGSBACKA</t>
        </is>
      </c>
      <c r="G4" t="n">
        <v>6</v>
      </c>
      <c r="H4" t="n">
        <v>5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Stare
Grönsångare
Kråka
Kungsfågel
Svartvit flugsnappare</t>
        </is>
      </c>
      <c r="S4">
        <f>HYPERLINK("https://klasma.github.io/Logging_1384/artfynd/A 38308-2025 artfynd.xlsx", "A 38308-2025")</f>
        <v/>
      </c>
      <c r="T4">
        <f>HYPERLINK("https://klasma.github.io/Logging_1384/kartor/A 38308-2025 karta.png", "A 38308-2025")</f>
        <v/>
      </c>
      <c r="V4">
        <f>HYPERLINK("https://klasma.github.io/Logging_1384/klagomål/A 38308-2025 FSC-klagomål.docx", "A 38308-2025")</f>
        <v/>
      </c>
      <c r="W4">
        <f>HYPERLINK("https://klasma.github.io/Logging_1384/klagomålsmail/A 38308-2025 FSC-klagomål mail.docx", "A 38308-2025")</f>
        <v/>
      </c>
      <c r="X4">
        <f>HYPERLINK("https://klasma.github.io/Logging_1384/tillsyn/A 38308-2025 tillsynsbegäran.docx", "A 38308-2025")</f>
        <v/>
      </c>
      <c r="Y4">
        <f>HYPERLINK("https://klasma.github.io/Logging_1384/tillsynsmail/A 38308-2025 tillsynsbegäran mail.docx", "A 38308-2025")</f>
        <v/>
      </c>
      <c r="Z4">
        <f>HYPERLINK("https://klasma.github.io/Logging_1384/fåglar/A 38308-2025 prioriterade fågelarter.docx", "A 38308-2025")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46193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46193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46193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Bivråk
Talltita
Kambräken
Spillkråka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46193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6417-2024</t>
        </is>
      </c>
      <c r="B10" s="1" t="n">
        <v>45338</v>
      </c>
      <c r="C10" s="1" t="n">
        <v>46193</v>
      </c>
      <c r="D10" t="inlineStr">
        <is>
          <t>HALLANDS LÄN</t>
        </is>
      </c>
      <c r="E10" t="inlineStr">
        <is>
          <t>KUNGSBACKA</t>
        </is>
      </c>
      <c r="G10" t="n">
        <v>6.3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HYPERLINK("https://klasma.github.io/Logging_1384/artfynd/A 6417-2024 artfynd.xlsx", "A 6417-2024")</f>
        <v/>
      </c>
      <c r="T10">
        <f>HYPERLINK("https://klasma.github.io/Logging_1384/kartor/A 6417-2024 karta.png", "A 6417-2024")</f>
        <v/>
      </c>
      <c r="V10">
        <f>HYPERLINK("https://klasma.github.io/Logging_1384/klagomål/A 6417-2024 FSC-klagomål.docx", "A 6417-2024")</f>
        <v/>
      </c>
      <c r="W10">
        <f>HYPERLINK("https://klasma.github.io/Logging_1384/klagomålsmail/A 6417-2024 FSC-klagomål mail.docx", "A 6417-2024")</f>
        <v/>
      </c>
      <c r="X10">
        <f>HYPERLINK("https://klasma.github.io/Logging_1384/tillsyn/A 6417-2024 tillsynsbegäran.docx", "A 6417-2024")</f>
        <v/>
      </c>
      <c r="Y10">
        <f>HYPERLINK("https://klasma.github.io/Logging_1384/tillsynsmail/A 6417-2024 tillsynsbegäran mail.docx", "A 6417-2024")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46193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65198-2023</t>
        </is>
      </c>
      <c r="B12" s="1" t="n">
        <v>45288</v>
      </c>
      <c r="C12" s="1" t="n">
        <v>46193</v>
      </c>
      <c r="D12" t="inlineStr">
        <is>
          <t>HALLANDS LÄN</t>
        </is>
      </c>
      <c r="E12" t="inlineStr">
        <is>
          <t>KUNGSBACKA</t>
        </is>
      </c>
      <c r="G12" t="n">
        <v>2.8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Blåsfliksmossa
Grov fjädermossa
Mussellav</t>
        </is>
      </c>
      <c r="S12">
        <f>HYPERLINK("https://klasma.github.io/Logging_1384/artfynd/A 65198-2023 artfynd.xlsx", "A 65198-2023")</f>
        <v/>
      </c>
      <c r="T12">
        <f>HYPERLINK("https://klasma.github.io/Logging_1384/kartor/A 65198-2023 karta.png", "A 65198-2023")</f>
        <v/>
      </c>
      <c r="V12">
        <f>HYPERLINK("https://klasma.github.io/Logging_1384/klagomål/A 65198-2023 FSC-klagomål.docx", "A 65198-2023")</f>
        <v/>
      </c>
      <c r="W12">
        <f>HYPERLINK("https://klasma.github.io/Logging_1384/klagomålsmail/A 65198-2023 FSC-klagomål mail.docx", "A 65198-2023")</f>
        <v/>
      </c>
      <c r="X12">
        <f>HYPERLINK("https://klasma.github.io/Logging_1384/tillsyn/A 65198-2023 tillsynsbegäran.docx", "A 65198-2023")</f>
        <v/>
      </c>
      <c r="Y12">
        <f>HYPERLINK("https://klasma.github.io/Logging_1384/tillsynsmail/A 65198-2023 tillsynsbegäran mail.docx", "A 65198-2023")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46193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46193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15096-2025</t>
        </is>
      </c>
      <c r="B15" s="1" t="n">
        <v>45744</v>
      </c>
      <c r="C15" s="1" t="n">
        <v>46193</v>
      </c>
      <c r="D15" t="inlineStr">
        <is>
          <t>HALLANDS LÄN</t>
        </is>
      </c>
      <c r="E15" t="inlineStr">
        <is>
          <t>KUNGSBACKA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HYPERLINK("https://klasma.github.io/Logging_1384/artfynd/A 15096-2025 artfynd.xlsx", "A 15096-2025")</f>
        <v/>
      </c>
      <c r="T15">
        <f>HYPERLINK("https://klasma.github.io/Logging_1384/kartor/A 15096-2025 karta.png", "A 15096-2025")</f>
        <v/>
      </c>
      <c r="V15">
        <f>HYPERLINK("https://klasma.github.io/Logging_1384/klagomål/A 15096-2025 FSC-klagomål.docx", "A 15096-2025")</f>
        <v/>
      </c>
      <c r="W15">
        <f>HYPERLINK("https://klasma.github.io/Logging_1384/klagomålsmail/A 15096-2025 FSC-klagomål mail.docx", "A 15096-2025")</f>
        <v/>
      </c>
      <c r="X15">
        <f>HYPERLINK("https://klasma.github.io/Logging_1384/tillsyn/A 15096-2025 tillsynsbegäran.docx", "A 15096-2025")</f>
        <v/>
      </c>
      <c r="Y15">
        <f>HYPERLINK("https://klasma.github.io/Logging_1384/tillsynsmail/A 15096-2025 tillsynsbegäran mail.docx", "A 15096-2025")</f>
        <v/>
      </c>
    </row>
    <row r="16" ht="15" customHeight="1">
      <c r="A16" t="inlineStr">
        <is>
          <t>A 18160-2026</t>
        </is>
      </c>
      <c r="B16" s="1" t="n">
        <v>46125</v>
      </c>
      <c r="C16" s="1" t="n">
        <v>46193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Järnek
Igelkott</t>
        </is>
      </c>
      <c r="S16">
        <f>HYPERLINK("https://klasma.github.io/Logging_1384/artfynd/A 18160-2026 artfynd.xlsx", "A 18160-2026")</f>
        <v/>
      </c>
      <c r="T16">
        <f>HYPERLINK("https://klasma.github.io/Logging_1384/kartor/A 18160-2026 karta.png", "A 18160-2026")</f>
        <v/>
      </c>
      <c r="V16">
        <f>HYPERLINK("https://klasma.github.io/Logging_1384/klagomål/A 18160-2026 FSC-klagomål.docx", "A 18160-2026")</f>
        <v/>
      </c>
      <c r="W16">
        <f>HYPERLINK("https://klasma.github.io/Logging_1384/klagomålsmail/A 18160-2026 FSC-klagomål mail.docx", "A 18160-2026")</f>
        <v/>
      </c>
      <c r="X16">
        <f>HYPERLINK("https://klasma.github.io/Logging_1384/tillsyn/A 18160-2026 tillsynsbegäran.docx", "A 18160-2026")</f>
        <v/>
      </c>
      <c r="Y16">
        <f>HYPERLINK("https://klasma.github.io/Logging_1384/tillsynsmail/A 18160-2026 tillsynsbegäran mail.docx", "A 18160-2026")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46193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31246-2021</t>
        </is>
      </c>
      <c r="B18" s="1" t="n">
        <v>44368</v>
      </c>
      <c r="C18" s="1" t="n">
        <v>46193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HYPERLINK("https://klasma.github.io/Logging_1384/artfynd/A 31246-2021 artfynd.xlsx", "A 31246-2021")</f>
        <v/>
      </c>
      <c r="T18">
        <f>HYPERLINK("https://klasma.github.io/Logging_1384/kartor/A 31246-2021 karta.png", "A 31246-2021")</f>
        <v/>
      </c>
      <c r="V18">
        <f>HYPERLINK("https://klasma.github.io/Logging_1384/klagomål/A 31246-2021 FSC-klagomål.docx", "A 31246-2021")</f>
        <v/>
      </c>
      <c r="W18">
        <f>HYPERLINK("https://klasma.github.io/Logging_1384/klagomålsmail/A 31246-2021 FSC-klagomål mail.docx", "A 31246-2021")</f>
        <v/>
      </c>
      <c r="X18">
        <f>HYPERLINK("https://klasma.github.io/Logging_1384/tillsyn/A 31246-2021 tillsynsbegäran.docx", "A 31246-2021")</f>
        <v/>
      </c>
      <c r="Y18">
        <f>HYPERLINK("https://klasma.github.io/Logging_1384/tillsynsmail/A 31246-2021 tillsynsbegäran mail.docx", "A 31246-2021")</f>
        <v/>
      </c>
    </row>
    <row r="19" ht="15" customHeight="1">
      <c r="A19" t="inlineStr">
        <is>
          <t>A 13434-2022</t>
        </is>
      </c>
      <c r="B19" s="1" t="n">
        <v>44645</v>
      </c>
      <c r="C19" s="1" t="n">
        <v>46193</v>
      </c>
      <c r="D19" t="inlineStr">
        <is>
          <t>HALLANDS LÄN</t>
        </is>
      </c>
      <c r="E19" t="inlineStr">
        <is>
          <t>KUNGSBACKA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13434-2022 artfynd.xlsx", "A 13434-2022")</f>
        <v/>
      </c>
      <c r="T19">
        <f>HYPERLINK("https://klasma.github.io/Logging_1384/kartor/A 13434-2022 karta.png", "A 13434-2022")</f>
        <v/>
      </c>
      <c r="V19">
        <f>HYPERLINK("https://klasma.github.io/Logging_1384/klagomål/A 13434-2022 FSC-klagomål.docx", "A 13434-2022")</f>
        <v/>
      </c>
      <c r="W19">
        <f>HYPERLINK("https://klasma.github.io/Logging_1384/klagomålsmail/A 13434-2022 FSC-klagomål mail.docx", "A 13434-2022")</f>
        <v/>
      </c>
      <c r="X19">
        <f>HYPERLINK("https://klasma.github.io/Logging_1384/tillsyn/A 13434-2022 tillsynsbegäran.docx", "A 13434-2022")</f>
        <v/>
      </c>
      <c r="Y19">
        <f>HYPERLINK("https://klasma.github.io/Logging_1384/tillsynsmail/A 13434-2022 tillsynsbegäran mail.docx", "A 13434-2022")</f>
        <v/>
      </c>
    </row>
    <row r="20" ht="15" customHeight="1">
      <c r="A20" t="inlineStr">
        <is>
          <t>A 21721-2023</t>
        </is>
      </c>
      <c r="B20" s="1" t="n">
        <v>45065</v>
      </c>
      <c r="C20" s="1" t="n">
        <v>46193</v>
      </c>
      <c r="D20" t="inlineStr">
        <is>
          <t>HALLANDS LÄN</t>
        </is>
      </c>
      <c r="E20" t="inlineStr">
        <is>
          <t>KUNGSBACKA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HYPERLINK("https://klasma.github.io/Logging_1384/artfynd/A 21721-2023 artfynd.xlsx", "A 21721-2023")</f>
        <v/>
      </c>
      <c r="T20">
        <f>HYPERLINK("https://klasma.github.io/Logging_1384/kartor/A 21721-2023 karta.png", "A 21721-2023")</f>
        <v/>
      </c>
      <c r="U20">
        <f>HYPERLINK("https://klasma.github.io/Logging_1384/knärot/A 21721-2023 karta knärot.png", "A 21721-2023")</f>
        <v/>
      </c>
      <c r="V20">
        <f>HYPERLINK("https://klasma.github.io/Logging_1384/klagomål/A 21721-2023 FSC-klagomål.docx", "A 21721-2023")</f>
        <v/>
      </c>
      <c r="W20">
        <f>HYPERLINK("https://klasma.github.io/Logging_1384/klagomålsmail/A 21721-2023 FSC-klagomål mail.docx", "A 21721-2023")</f>
        <v/>
      </c>
      <c r="X20">
        <f>HYPERLINK("https://klasma.github.io/Logging_1384/tillsyn/A 21721-2023 tillsynsbegäran.docx", "A 21721-2023")</f>
        <v/>
      </c>
      <c r="Y20">
        <f>HYPERLINK("https://klasma.github.io/Logging_1384/tillsynsmail/A 21721-2023 tillsynsbegäran mail.docx", "A 21721-2023")</f>
        <v/>
      </c>
    </row>
    <row r="21" ht="15" customHeight="1">
      <c r="A21" t="inlineStr">
        <is>
          <t>A 33715-2021</t>
        </is>
      </c>
      <c r="B21" s="1" t="n">
        <v>44378</v>
      </c>
      <c r="C21" s="1" t="n">
        <v>46193</v>
      </c>
      <c r="D21" t="inlineStr">
        <is>
          <t>HALLANDS LÄN</t>
        </is>
      </c>
      <c r="E21" t="inlineStr">
        <is>
          <t>KUNGSBACKA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HYPERLINK("https://klasma.github.io/Logging_1384/artfynd/A 33715-2021 artfynd.xlsx", "A 33715-2021")</f>
        <v/>
      </c>
      <c r="T21">
        <f>HYPERLINK("https://klasma.github.io/Logging_1384/kartor/A 33715-2021 karta.png", "A 33715-2021")</f>
        <v/>
      </c>
      <c r="V21">
        <f>HYPERLINK("https://klasma.github.io/Logging_1384/klagomål/A 33715-2021 FSC-klagomål.docx", "A 33715-2021")</f>
        <v/>
      </c>
      <c r="W21">
        <f>HYPERLINK("https://klasma.github.io/Logging_1384/klagomålsmail/A 33715-2021 FSC-klagomål mail.docx", "A 33715-2021")</f>
        <v/>
      </c>
      <c r="X21">
        <f>HYPERLINK("https://klasma.github.io/Logging_1384/tillsyn/A 33715-2021 tillsynsbegäran.docx", "A 33715-2021")</f>
        <v/>
      </c>
      <c r="Y21">
        <f>HYPERLINK("https://klasma.github.io/Logging_1384/tillsynsmail/A 33715-2021 tillsynsbegäran mail.docx", "A 33715-2021")</f>
        <v/>
      </c>
      <c r="Z21">
        <f>HYPERLINK("https://klasma.github.io/Logging_1384/fåglar/A 33715-2021 prioriterade fågelarter.docx", "A 33715-2021")</f>
        <v/>
      </c>
    </row>
    <row r="22" ht="15" customHeight="1">
      <c r="A22" t="inlineStr">
        <is>
          <t>A 64129-2021</t>
        </is>
      </c>
      <c r="B22" s="1" t="n">
        <v>44510</v>
      </c>
      <c r="C22" s="1" t="n">
        <v>46193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64129-2021 artfynd.xlsx", "A 64129-2021")</f>
        <v/>
      </c>
      <c r="T22">
        <f>HYPERLINK("https://klasma.github.io/Logging_1384/kartor/A 64129-2021 karta.png", "A 64129-2021")</f>
        <v/>
      </c>
      <c r="V22">
        <f>HYPERLINK("https://klasma.github.io/Logging_1384/klagomål/A 64129-2021 FSC-klagomål.docx", "A 64129-2021")</f>
        <v/>
      </c>
      <c r="W22">
        <f>HYPERLINK("https://klasma.github.io/Logging_1384/klagomålsmail/A 64129-2021 FSC-klagomål mail.docx", "A 64129-2021")</f>
        <v/>
      </c>
      <c r="X22">
        <f>HYPERLINK("https://klasma.github.io/Logging_1384/tillsyn/A 64129-2021 tillsynsbegäran.docx", "A 64129-2021")</f>
        <v/>
      </c>
      <c r="Y22">
        <f>HYPERLINK("https://klasma.github.io/Logging_1384/tillsynsmail/A 64129-2021 tillsynsbegäran mail.docx", "A 64129-2021")</f>
        <v/>
      </c>
    </row>
    <row r="23" ht="15" customHeight="1">
      <c r="A23" t="inlineStr">
        <is>
          <t>A 1765-2023</t>
        </is>
      </c>
      <c r="B23" s="1" t="n">
        <v>44936</v>
      </c>
      <c r="C23" s="1" t="n">
        <v>46193</v>
      </c>
      <c r="D23" t="inlineStr">
        <is>
          <t>HALLANDS LÄN</t>
        </is>
      </c>
      <c r="E23" t="inlineStr">
        <is>
          <t>KUNGSBACKA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HYPERLINK("https://klasma.github.io/Logging_1384/artfynd/A 1765-2023 artfynd.xlsx", "A 1765-2023")</f>
        <v/>
      </c>
      <c r="T23">
        <f>HYPERLINK("https://klasma.github.io/Logging_1384/kartor/A 1765-2023 karta.png", "A 1765-2023")</f>
        <v/>
      </c>
      <c r="V23">
        <f>HYPERLINK("https://klasma.github.io/Logging_1384/klagomål/A 1765-2023 FSC-klagomål.docx", "A 1765-2023")</f>
        <v/>
      </c>
      <c r="W23">
        <f>HYPERLINK("https://klasma.github.io/Logging_1384/klagomålsmail/A 1765-2023 FSC-klagomål mail.docx", "A 1765-2023")</f>
        <v/>
      </c>
      <c r="X23">
        <f>HYPERLINK("https://klasma.github.io/Logging_1384/tillsyn/A 1765-2023 tillsynsbegäran.docx", "A 1765-2023")</f>
        <v/>
      </c>
      <c r="Y23">
        <f>HYPERLINK("https://klasma.github.io/Logging_1384/tillsynsmail/A 1765-2023 tillsynsbegäran mail.docx", "A 1765-2023")</f>
        <v/>
      </c>
    </row>
    <row r="24" ht="15" customHeight="1">
      <c r="A24" t="inlineStr">
        <is>
          <t>A 9548-2024</t>
        </is>
      </c>
      <c r="B24" s="1" t="n">
        <v>45359</v>
      </c>
      <c r="C24" s="1" t="n">
        <v>46193</v>
      </c>
      <c r="D24" t="inlineStr">
        <is>
          <t>HALLANDS LÄN</t>
        </is>
      </c>
      <c r="E24" t="inlineStr">
        <is>
          <t>KUNGSBACKA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HYPERLINK("https://klasma.github.io/Logging_1384/artfynd/A 9548-2024 artfynd.xlsx", "A 9548-2024")</f>
        <v/>
      </c>
      <c r="T24">
        <f>HYPERLINK("https://klasma.github.io/Logging_1384/kartor/A 9548-2024 karta.png", "A 9548-2024")</f>
        <v/>
      </c>
      <c r="V24">
        <f>HYPERLINK("https://klasma.github.io/Logging_1384/klagomål/A 9548-2024 FSC-klagomål.docx", "A 9548-2024")</f>
        <v/>
      </c>
      <c r="W24">
        <f>HYPERLINK("https://klasma.github.io/Logging_1384/klagomålsmail/A 9548-2024 FSC-klagomål mail.docx", "A 9548-2024")</f>
        <v/>
      </c>
      <c r="X24">
        <f>HYPERLINK("https://klasma.github.io/Logging_1384/tillsyn/A 9548-2024 tillsynsbegäran.docx", "A 9548-2024")</f>
        <v/>
      </c>
      <c r="Y24">
        <f>HYPERLINK("https://klasma.github.io/Logging_1384/tillsynsmail/A 9548-2024 tillsynsbegäran mail.docx", "A 9548-2024")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46193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11010-2025 artfynd.xlsx", "A 11010-2025")</f>
        <v/>
      </c>
      <c r="T25">
        <f>HYPERLINK("https://klasma.github.io/Logging_1384/kartor/A 11010-2025 karta.png", "A 11010-2025")</f>
        <v/>
      </c>
      <c r="V25">
        <f>HYPERLINK("https://klasma.github.io/Logging_1384/klagomål/A 11010-2025 FSC-klagomål.docx", "A 11010-2025")</f>
        <v/>
      </c>
      <c r="W25">
        <f>HYPERLINK("https://klasma.github.io/Logging_1384/klagomålsmail/A 11010-2025 FSC-klagomål mail.docx", "A 11010-2025")</f>
        <v/>
      </c>
      <c r="X25">
        <f>HYPERLINK("https://klasma.github.io/Logging_1384/tillsyn/A 11010-2025 tillsynsbegäran.docx", "A 11010-2025")</f>
        <v/>
      </c>
      <c r="Y25">
        <f>HYPERLINK("https://klasma.github.io/Logging_1384/tillsynsmail/A 11010-2025 tillsynsbegäran mail.docx", "A 11010-2025")</f>
        <v/>
      </c>
    </row>
    <row r="26" ht="15" customHeight="1">
      <c r="A26" t="inlineStr">
        <is>
          <t>A 44638-2022</t>
        </is>
      </c>
      <c r="B26" s="1" t="n">
        <v>44840</v>
      </c>
      <c r="C26" s="1" t="n">
        <v>46193</v>
      </c>
      <c r="D26" t="inlineStr">
        <is>
          <t>HALLANDS LÄN</t>
        </is>
      </c>
      <c r="E26" t="inlineStr">
        <is>
          <t>KUNGSBACKA</t>
        </is>
      </c>
      <c r="F26" t="inlineStr">
        <is>
          <t>Kommuner</t>
        </is>
      </c>
      <c r="G26" t="n">
        <v>11.8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HYPERLINK("https://klasma.github.io/Logging_1384/artfynd/A 44638-2022 artfynd.xlsx", "A 44638-2022")</f>
        <v/>
      </c>
      <c r="T26">
        <f>HYPERLINK("https://klasma.github.io/Logging_1384/kartor/A 44638-2022 karta.png", "A 44638-2022")</f>
        <v/>
      </c>
      <c r="V26">
        <f>HYPERLINK("https://klasma.github.io/Logging_1384/klagomål/A 44638-2022 FSC-klagomål.docx", "A 44638-2022")</f>
        <v/>
      </c>
      <c r="W26">
        <f>HYPERLINK("https://klasma.github.io/Logging_1384/klagomålsmail/A 44638-2022 FSC-klagomål mail.docx", "A 44638-2022")</f>
        <v/>
      </c>
      <c r="X26">
        <f>HYPERLINK("https://klasma.github.io/Logging_1384/tillsyn/A 44638-2022 tillsynsbegäran.docx", "A 44638-2022")</f>
        <v/>
      </c>
      <c r="Y26">
        <f>HYPERLINK("https://klasma.github.io/Logging_1384/tillsynsmail/A 44638-2022 tillsynsbegäran mail.docx", "A 44638-2022")</f>
        <v/>
      </c>
      <c r="Z26">
        <f>HYPERLINK("https://klasma.github.io/Logging_1384/fåglar/A 44638-2022 prioriterade fågelarter.docx", "A 44638-2022")</f>
        <v/>
      </c>
    </row>
    <row r="27" ht="15" customHeight="1">
      <c r="A27" t="inlineStr">
        <is>
          <t>A 40024-2021</t>
        </is>
      </c>
      <c r="B27" s="1" t="n">
        <v>44418</v>
      </c>
      <c r="C27" s="1" t="n">
        <v>46193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HYPERLINK("https://klasma.github.io/Logging_1384/artfynd/A 40024-2021 artfynd.xlsx", "A 40024-2021")</f>
        <v/>
      </c>
      <c r="T27">
        <f>HYPERLINK("https://klasma.github.io/Logging_1384/kartor/A 40024-2021 karta.png", "A 40024-2021")</f>
        <v/>
      </c>
      <c r="V27">
        <f>HYPERLINK("https://klasma.github.io/Logging_1384/klagomål/A 40024-2021 FSC-klagomål.docx", "A 40024-2021")</f>
        <v/>
      </c>
      <c r="W27">
        <f>HYPERLINK("https://klasma.github.io/Logging_1384/klagomålsmail/A 40024-2021 FSC-klagomål mail.docx", "A 40024-2021")</f>
        <v/>
      </c>
      <c r="X27">
        <f>HYPERLINK("https://klasma.github.io/Logging_1384/tillsyn/A 40024-2021 tillsynsbegäran.docx", "A 40024-2021")</f>
        <v/>
      </c>
      <c r="Y27">
        <f>HYPERLINK("https://klasma.github.io/Logging_1384/tillsynsmail/A 40024-2021 tillsynsbegäran mail.docx", "A 40024-2021")</f>
        <v/>
      </c>
      <c r="Z27">
        <f>HYPERLINK("https://klasma.github.io/Logging_1384/fåglar/A 40024-2021 prioriterade fågelarter.docx", "A 40024-2021")</f>
        <v/>
      </c>
    </row>
    <row r="28" ht="15" customHeight="1">
      <c r="A28" t="inlineStr">
        <is>
          <t>A 13932-2025</t>
        </is>
      </c>
      <c r="B28" s="1" t="n">
        <v>45737</v>
      </c>
      <c r="C28" s="1" t="n">
        <v>46193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HYPERLINK("https://klasma.github.io/Logging_1384/artfynd/A 13932-2025 artfynd.xlsx", "A 13932-2025")</f>
        <v/>
      </c>
      <c r="T28">
        <f>HYPERLINK("https://klasma.github.io/Logging_1384/kartor/A 13932-2025 karta.png", "A 13932-2025")</f>
        <v/>
      </c>
      <c r="V28">
        <f>HYPERLINK("https://klasma.github.io/Logging_1384/klagomål/A 13932-2025 FSC-klagomål.docx", "A 13932-2025")</f>
        <v/>
      </c>
      <c r="W28">
        <f>HYPERLINK("https://klasma.github.io/Logging_1384/klagomålsmail/A 13932-2025 FSC-klagomål mail.docx", "A 13932-2025")</f>
        <v/>
      </c>
      <c r="X28">
        <f>HYPERLINK("https://klasma.github.io/Logging_1384/tillsyn/A 13932-2025 tillsynsbegäran.docx", "A 13932-2025")</f>
        <v/>
      </c>
      <c r="Y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s="1" t="n">
        <v>45749</v>
      </c>
      <c r="C29" s="1" t="n">
        <v>46193</v>
      </c>
      <c r="D29" t="inlineStr">
        <is>
          <t>HALLANDS LÄN</t>
        </is>
      </c>
      <c r="E29" t="inlineStr">
        <is>
          <t>KUNGSBACKA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HYPERLINK("https://klasma.github.io/Logging_1384/artfynd/A 16076-2025 artfynd.xlsx", "A 16076-2025")</f>
        <v/>
      </c>
      <c r="T29">
        <f>HYPERLINK("https://klasma.github.io/Logging_1384/kartor/A 16076-2025 karta.png", "A 16076-2025")</f>
        <v/>
      </c>
      <c r="V29">
        <f>HYPERLINK("https://klasma.github.io/Logging_1384/klagomål/A 16076-2025 FSC-klagomål.docx", "A 16076-2025")</f>
        <v/>
      </c>
      <c r="W29">
        <f>HYPERLINK("https://klasma.github.io/Logging_1384/klagomålsmail/A 16076-2025 FSC-klagomål mail.docx", "A 16076-2025")</f>
        <v/>
      </c>
      <c r="X29">
        <f>HYPERLINK("https://klasma.github.io/Logging_1384/tillsyn/A 16076-2025 tillsynsbegäran.docx", "A 16076-2025")</f>
        <v/>
      </c>
      <c r="Y29">
        <f>HYPERLINK("https://klasma.github.io/Logging_1384/tillsynsmail/A 16076-2025 tillsynsbegäran mail.docx", "A 16076-2025")</f>
        <v/>
      </c>
      <c r="Z29">
        <f>HYPERLINK("https://klasma.github.io/Logging_1384/fåglar/A 16076-2025 prioriterade fågelarter.docx", "A 16076-2025")</f>
        <v/>
      </c>
    </row>
    <row r="30" ht="15" customHeight="1">
      <c r="A30" t="inlineStr">
        <is>
          <t>A 7801-2025</t>
        </is>
      </c>
      <c r="B30" s="1" t="n">
        <v>45706</v>
      </c>
      <c r="C30" s="1" t="n">
        <v>46193</v>
      </c>
      <c r="D30" t="inlineStr">
        <is>
          <t>HALLANDS LÄN</t>
        </is>
      </c>
      <c r="E30" t="inlineStr">
        <is>
          <t>KUNGSBACKA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HYPERLINK("https://klasma.github.io/Logging_1384/artfynd/A 7801-2025 artfynd.xlsx", "A 7801-2025")</f>
        <v/>
      </c>
      <c r="T30">
        <f>HYPERLINK("https://klasma.github.io/Logging_1384/kartor/A 7801-2025 karta.png", "A 7801-2025")</f>
        <v/>
      </c>
      <c r="V30">
        <f>HYPERLINK("https://klasma.github.io/Logging_1384/klagomål/A 7801-2025 FSC-klagomål.docx", "A 7801-2025")</f>
        <v/>
      </c>
      <c r="W30">
        <f>HYPERLINK("https://klasma.github.io/Logging_1384/klagomålsmail/A 7801-2025 FSC-klagomål mail.docx", "A 7801-2025")</f>
        <v/>
      </c>
      <c r="X30">
        <f>HYPERLINK("https://klasma.github.io/Logging_1384/tillsyn/A 7801-2025 tillsynsbegäran.docx", "A 7801-2025")</f>
        <v/>
      </c>
      <c r="Y30">
        <f>HYPERLINK("https://klasma.github.io/Logging_1384/tillsynsmail/A 7801-2025 tillsynsbegäran mail.docx", "A 7801-2025")</f>
        <v/>
      </c>
    </row>
    <row r="31" ht="15" customHeight="1">
      <c r="A31" t="inlineStr">
        <is>
          <t>A 3281-2025</t>
        </is>
      </c>
      <c r="B31" s="1" t="n">
        <v>45679</v>
      </c>
      <c r="C31" s="1" t="n">
        <v>46193</v>
      </c>
      <c r="D31" t="inlineStr">
        <is>
          <t>HALLANDS LÄN</t>
        </is>
      </c>
      <c r="E31" t="inlineStr">
        <is>
          <t>KUNGSBACKA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HYPERLINK("https://klasma.github.io/Logging_1384/artfynd/A 3281-2025 artfynd.xlsx", "A 3281-2025")</f>
        <v/>
      </c>
      <c r="T31">
        <f>HYPERLINK("https://klasma.github.io/Logging_1384/kartor/A 3281-2025 karta.png", "A 3281-2025")</f>
        <v/>
      </c>
      <c r="V31">
        <f>HYPERLINK("https://klasma.github.io/Logging_1384/klagomål/A 3281-2025 FSC-klagomål.docx", "A 3281-2025")</f>
        <v/>
      </c>
      <c r="W31">
        <f>HYPERLINK("https://klasma.github.io/Logging_1384/klagomålsmail/A 3281-2025 FSC-klagomål mail.docx", "A 3281-2025")</f>
        <v/>
      </c>
      <c r="X31">
        <f>HYPERLINK("https://klasma.github.io/Logging_1384/tillsyn/A 3281-2025 tillsynsbegäran.docx", "A 3281-2025")</f>
        <v/>
      </c>
      <c r="Y31">
        <f>HYPERLINK("https://klasma.github.io/Logging_1384/tillsynsmail/A 3281-2025 tillsynsbegäran mail.docx", "A 3281-2025")</f>
        <v/>
      </c>
    </row>
    <row r="32" ht="15" customHeight="1">
      <c r="A32" t="inlineStr">
        <is>
          <t>A 18150-2026</t>
        </is>
      </c>
      <c r="B32" s="1" t="n">
        <v>46125</v>
      </c>
      <c r="C32" s="1" t="n">
        <v>46193</v>
      </c>
      <c r="D32" t="inlineStr">
        <is>
          <t>HALLANDS LÄN</t>
        </is>
      </c>
      <c r="E32" t="inlineStr">
        <is>
          <t>KUNGSBACKA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Järnek</t>
        </is>
      </c>
      <c r="S32">
        <f>HYPERLINK("https://klasma.github.io/Logging_1384/artfynd/A 18150-2026 artfynd.xlsx", "A 18150-2026")</f>
        <v/>
      </c>
      <c r="T32">
        <f>HYPERLINK("https://klasma.github.io/Logging_1384/kartor/A 18150-2026 karta.png", "A 18150-2026")</f>
        <v/>
      </c>
      <c r="V32">
        <f>HYPERLINK("https://klasma.github.io/Logging_1384/klagomål/A 18150-2026 FSC-klagomål.docx", "A 18150-2026")</f>
        <v/>
      </c>
      <c r="W32">
        <f>HYPERLINK("https://klasma.github.io/Logging_1384/klagomålsmail/A 18150-2026 FSC-klagomål mail.docx", "A 18150-2026")</f>
        <v/>
      </c>
      <c r="X32">
        <f>HYPERLINK("https://klasma.github.io/Logging_1384/tillsyn/A 18150-2026 tillsynsbegäran.docx", "A 18150-2026")</f>
        <v/>
      </c>
      <c r="Y32">
        <f>HYPERLINK("https://klasma.github.io/Logging_1384/tillsynsmail/A 18150-2026 tillsynsbegäran mail.docx", "A 18150-2026")</f>
        <v/>
      </c>
    </row>
    <row r="33" ht="15" customHeight="1">
      <c r="A33" t="inlineStr">
        <is>
          <t>A 36670-2022</t>
        </is>
      </c>
      <c r="B33" s="1" t="n">
        <v>44804</v>
      </c>
      <c r="C33" s="1" t="n">
        <v>46193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70634-2021</t>
        </is>
      </c>
      <c r="B34" s="1" t="n">
        <v>44537</v>
      </c>
      <c r="C34" s="1" t="n">
        <v>46193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36366-2021</t>
        </is>
      </c>
      <c r="B35" s="1" t="n">
        <v>44390</v>
      </c>
      <c r="C35" s="1" t="n">
        <v>46193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36358-2021</t>
        </is>
      </c>
      <c r="B36" s="1" t="n">
        <v>44390</v>
      </c>
      <c r="C36" s="1" t="n">
        <v>46193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36650-2021</t>
        </is>
      </c>
      <c r="B37" s="1" t="n">
        <v>44392</v>
      </c>
      <c r="C37" s="1" t="n">
        <v>46193</v>
      </c>
      <c r="D37" t="inlineStr">
        <is>
          <t>HALLANDS LÄN</t>
        </is>
      </c>
      <c r="E37" t="inlineStr">
        <is>
          <t>KUNGSBACKA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36361-2021</t>
        </is>
      </c>
      <c r="B38" s="1" t="n">
        <v>44390</v>
      </c>
      <c r="C38" s="1" t="n">
        <v>46193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47401-2022</t>
        </is>
      </c>
      <c r="B39" s="1" t="n">
        <v>44853</v>
      </c>
      <c r="C39" s="1" t="n">
        <v>46193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8640-2022</t>
        </is>
      </c>
      <c r="B40" s="1" t="n">
        <v>44613</v>
      </c>
      <c r="C40" s="1" t="n">
        <v>46193</v>
      </c>
      <c r="D40" t="inlineStr">
        <is>
          <t>HALLANDS LÄN</t>
        </is>
      </c>
      <c r="E40" t="inlineStr">
        <is>
          <t>KUNGSBACKA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41766-2021</t>
        </is>
      </c>
      <c r="B41" s="1" t="n">
        <v>44425</v>
      </c>
      <c r="C41" s="1" t="n">
        <v>46193</v>
      </c>
      <c r="D41" t="inlineStr">
        <is>
          <t>HALLANDS LÄN</t>
        </is>
      </c>
      <c r="E41" t="inlineStr">
        <is>
          <t>KUNGSBACKA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46193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71687-2021</t>
        </is>
      </c>
      <c r="B43" s="1" t="n">
        <v>44539</v>
      </c>
      <c r="C43" s="1" t="n">
        <v>46193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46193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</v>
      </c>
      <c r="C45" s="1" t="n">
        <v>46193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57034-2021</t>
        </is>
      </c>
      <c r="B46" s="1" t="n">
        <v>44482</v>
      </c>
      <c r="C46" s="1" t="n">
        <v>46193</v>
      </c>
      <c r="D46" t="inlineStr">
        <is>
          <t>HALLANDS LÄN</t>
        </is>
      </c>
      <c r="E46" t="inlineStr">
        <is>
          <t>KUNGSBACKA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46193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</v>
      </c>
      <c r="C48" s="1" t="n">
        <v>46193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46193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46193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7335-2023</t>
        </is>
      </c>
      <c r="B51" s="1" t="n">
        <v>44971</v>
      </c>
      <c r="C51" s="1" t="n">
        <v>46193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11310-2024</t>
        </is>
      </c>
      <c r="B52" s="1" t="n">
        <v>45371</v>
      </c>
      <c r="C52" s="1" t="n">
        <v>46193</v>
      </c>
      <c r="D52" t="inlineStr">
        <is>
          <t>HALLANDS LÄN</t>
        </is>
      </c>
      <c r="E52" t="inlineStr">
        <is>
          <t>KUNGSBACKA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46193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36984-2021</t>
        </is>
      </c>
      <c r="B54" s="1" t="n">
        <v>44393</v>
      </c>
      <c r="C54" s="1" t="n">
        <v>46193</v>
      </c>
      <c r="D54" t="inlineStr">
        <is>
          <t>HALLANDS LÄN</t>
        </is>
      </c>
      <c r="E54" t="inlineStr">
        <is>
          <t>KUNGSBACKA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58118-2021</t>
        </is>
      </c>
      <c r="B55" s="1" t="n">
        <v>44487</v>
      </c>
      <c r="C55" s="1" t="n">
        <v>46193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40582-2022</t>
        </is>
      </c>
      <c r="B56" s="1" t="n">
        <v>44819</v>
      </c>
      <c r="C56" s="1" t="n">
        <v>46193</v>
      </c>
      <c r="D56" t="inlineStr">
        <is>
          <t>HALLANDS LÄN</t>
        </is>
      </c>
      <c r="E56" t="inlineStr">
        <is>
          <t>KUNGSBACKA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46193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9423-2024</t>
        </is>
      </c>
      <c r="B58" s="1" t="n">
        <v>45359</v>
      </c>
      <c r="C58" s="1" t="n">
        <v>46193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4144-2024</t>
        </is>
      </c>
      <c r="B59" s="1" t="n">
        <v>45323</v>
      </c>
      <c r="C59" s="1" t="n">
        <v>46193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8789-2024</t>
        </is>
      </c>
      <c r="B60" s="1" t="n">
        <v>45356</v>
      </c>
      <c r="C60" s="1" t="n">
        <v>46193</v>
      </c>
      <c r="D60" t="inlineStr">
        <is>
          <t>HALLANDS LÄN</t>
        </is>
      </c>
      <c r="E60" t="inlineStr">
        <is>
          <t>KUNGSBACKA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28529-2022</t>
        </is>
      </c>
      <c r="B61" s="1" t="n">
        <v>44748</v>
      </c>
      <c r="C61" s="1" t="n">
        <v>46193</v>
      </c>
      <c r="D61" t="inlineStr">
        <is>
          <t>HALLANDS LÄN</t>
        </is>
      </c>
      <c r="E61" t="inlineStr">
        <is>
          <t>KUNGSBACKA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51331-2022</t>
        </is>
      </c>
      <c r="B62" s="1" t="n">
        <v>44869</v>
      </c>
      <c r="C62" s="1" t="n">
        <v>46193</v>
      </c>
      <c r="D62" t="inlineStr">
        <is>
          <t>HALLANDS LÄN</t>
        </is>
      </c>
      <c r="E62" t="inlineStr">
        <is>
          <t>KUNGSBACKA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46193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11958-2023</t>
        </is>
      </c>
      <c r="B64" s="1" t="n">
        <v>44994</v>
      </c>
      <c r="C64" s="1" t="n">
        <v>46193</v>
      </c>
      <c r="D64" t="inlineStr">
        <is>
          <t>HALLANDS LÄN</t>
        </is>
      </c>
      <c r="E64" t="inlineStr">
        <is>
          <t>KUNGSBACKA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57790-2022</t>
        </is>
      </c>
      <c r="B65" s="1" t="n">
        <v>44897</v>
      </c>
      <c r="C65" s="1" t="n">
        <v>46193</v>
      </c>
      <c r="D65" t="inlineStr">
        <is>
          <t>HALLANDS LÄN</t>
        </is>
      </c>
      <c r="E65" t="inlineStr">
        <is>
          <t>KUNGSBACKA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33494-2023</t>
        </is>
      </c>
      <c r="B66" s="1" t="n">
        <v>45131</v>
      </c>
      <c r="C66" s="1" t="n">
        <v>46193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33496-2023</t>
        </is>
      </c>
      <c r="B67" s="1" t="n">
        <v>45131</v>
      </c>
      <c r="C67" s="1" t="n">
        <v>46193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11432-2025</t>
        </is>
      </c>
      <c r="B68" s="1" t="n">
        <v>45726</v>
      </c>
      <c r="C68" s="1" t="n">
        <v>46193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</v>
      </c>
      <c r="C69" s="1" t="n">
        <v>46193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32030-2024</t>
        </is>
      </c>
      <c r="B70" s="1" t="n">
        <v>45510</v>
      </c>
      <c r="C70" s="1" t="n">
        <v>46193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46193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52317-2022</t>
        </is>
      </c>
      <c r="B72" s="1" t="n">
        <v>44873</v>
      </c>
      <c r="C72" s="1" t="n">
        <v>46193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51316-2023</t>
        </is>
      </c>
      <c r="B73" s="1" t="n">
        <v>45219</v>
      </c>
      <c r="C73" s="1" t="n">
        <v>46193</v>
      </c>
      <c r="D73" t="inlineStr">
        <is>
          <t>HALLANDS LÄN</t>
        </is>
      </c>
      <c r="E73" t="inlineStr">
        <is>
          <t>KUNGSBACKA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41508-2024</t>
        </is>
      </c>
      <c r="B74" s="1" t="n">
        <v>45560</v>
      </c>
      <c r="C74" s="1" t="n">
        <v>46193</v>
      </c>
      <c r="D74" t="inlineStr">
        <is>
          <t>HALLANDS LÄN</t>
        </is>
      </c>
      <c r="E74" t="inlineStr">
        <is>
          <t>KUNGSBACKA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6260-2022</t>
        </is>
      </c>
      <c r="B75" s="1" t="n">
        <v>44600</v>
      </c>
      <c r="C75" s="1" t="n">
        <v>46193</v>
      </c>
      <c r="D75" t="inlineStr">
        <is>
          <t>HALLANDS LÄN</t>
        </is>
      </c>
      <c r="E75" t="inlineStr">
        <is>
          <t>KUNGSBACKA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14487-2025</t>
        </is>
      </c>
      <c r="B76" s="1" t="n">
        <v>45741</v>
      </c>
      <c r="C76" s="1" t="n">
        <v>46193</v>
      </c>
      <c r="D76" t="inlineStr">
        <is>
          <t>HALLANDS LÄN</t>
        </is>
      </c>
      <c r="E76" t="inlineStr">
        <is>
          <t>KUNGSBACKA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46193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</v>
      </c>
      <c r="C78" s="1" t="n">
        <v>46193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10137-2025</t>
        </is>
      </c>
      <c r="B79" s="1" t="n">
        <v>45719</v>
      </c>
      <c r="C79" s="1" t="n">
        <v>46193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70904-2021</t>
        </is>
      </c>
      <c r="B80" s="1" t="n">
        <v>44538</v>
      </c>
      <c r="C80" s="1" t="n">
        <v>46193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46193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71891-2021</t>
        </is>
      </c>
      <c r="B82" s="1" t="n">
        <v>44543</v>
      </c>
      <c r="C82" s="1" t="n">
        <v>46193</v>
      </c>
      <c r="D82" t="inlineStr">
        <is>
          <t>HALLANDS LÄN</t>
        </is>
      </c>
      <c r="E82" t="inlineStr">
        <is>
          <t>KUNGSBACKA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51332-2022</t>
        </is>
      </c>
      <c r="B83" s="1" t="n">
        <v>44869</v>
      </c>
      <c r="C83" s="1" t="n">
        <v>46193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</v>
      </c>
      <c r="C84" s="1" t="n">
        <v>46193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11293-2024</t>
        </is>
      </c>
      <c r="B85" s="1" t="n">
        <v>45371</v>
      </c>
      <c r="C85" s="1" t="n">
        <v>46193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11296-2024</t>
        </is>
      </c>
      <c r="B86" s="1" t="n">
        <v>45371</v>
      </c>
      <c r="C86" s="1" t="n">
        <v>46193</v>
      </c>
      <c r="D86" t="inlineStr">
        <is>
          <t>HALLANDS LÄN</t>
        </is>
      </c>
      <c r="E86" t="inlineStr">
        <is>
          <t>KUNGSBACKA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15074-2025</t>
        </is>
      </c>
      <c r="B87" s="1" t="n">
        <v>45743</v>
      </c>
      <c r="C87" s="1" t="n">
        <v>46193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17212-2025</t>
        </is>
      </c>
      <c r="B88" s="1" t="n">
        <v>45756</v>
      </c>
      <c r="C88" s="1" t="n">
        <v>46193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39418-2021</t>
        </is>
      </c>
      <c r="B89" s="1" t="n">
        <v>44414</v>
      </c>
      <c r="C89" s="1" t="n">
        <v>46193</v>
      </c>
      <c r="D89" t="inlineStr">
        <is>
          <t>HALLANDS LÄN</t>
        </is>
      </c>
      <c r="E89" t="inlineStr">
        <is>
          <t>KUNGSBACKA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14843-2024</t>
        </is>
      </c>
      <c r="B90" s="1" t="n">
        <v>45398</v>
      </c>
      <c r="C90" s="1" t="n">
        <v>46193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14846-2024</t>
        </is>
      </c>
      <c r="B91" s="1" t="n">
        <v>45398</v>
      </c>
      <c r="C91" s="1" t="n">
        <v>46193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10949-2024</t>
        </is>
      </c>
      <c r="B92" s="1" t="n">
        <v>45370</v>
      </c>
      <c r="C92" s="1" t="n">
        <v>46193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28036-2023</t>
        </is>
      </c>
      <c r="B93" s="1" t="n">
        <v>45099</v>
      </c>
      <c r="C93" s="1" t="n">
        <v>46193</v>
      </c>
      <c r="D93" t="inlineStr">
        <is>
          <t>HALLANDS LÄN</t>
        </is>
      </c>
      <c r="E93" t="inlineStr">
        <is>
          <t>KUNGSBACKA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</v>
      </c>
      <c r="C94" s="1" t="n">
        <v>46193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56293-2023</t>
        </is>
      </c>
      <c r="B95" s="1" t="n">
        <v>45242</v>
      </c>
      <c r="C95" s="1" t="n">
        <v>46193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56294-2023</t>
        </is>
      </c>
      <c r="B96" s="1" t="n">
        <v>45242</v>
      </c>
      <c r="C96" s="1" t="n">
        <v>46193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30996-2023</t>
        </is>
      </c>
      <c r="B97" s="1" t="n">
        <v>45113</v>
      </c>
      <c r="C97" s="1" t="n">
        <v>46193</v>
      </c>
      <c r="D97" t="inlineStr">
        <is>
          <t>HALLANDS LÄN</t>
        </is>
      </c>
      <c r="E97" t="inlineStr">
        <is>
          <t>KUNGSBACKA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30901-2022</t>
        </is>
      </c>
      <c r="B98" s="1" t="n">
        <v>44767</v>
      </c>
      <c r="C98" s="1" t="n">
        <v>46193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62139-2024</t>
        </is>
      </c>
      <c r="B99" s="1" t="n">
        <v>45656</v>
      </c>
      <c r="C99" s="1" t="n">
        <v>46193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15061-2025</t>
        </is>
      </c>
      <c r="B100" s="1" t="n">
        <v>45743</v>
      </c>
      <c r="C100" s="1" t="n">
        <v>46193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6978-2023</t>
        </is>
      </c>
      <c r="B101" s="1" t="n">
        <v>44967</v>
      </c>
      <c r="C101" s="1" t="n">
        <v>46193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20750-2024</t>
        </is>
      </c>
      <c r="B102" s="1" t="n">
        <v>45436</v>
      </c>
      <c r="C102" s="1" t="n">
        <v>46193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49505-2024</t>
        </is>
      </c>
      <c r="B103" s="1" t="n">
        <v>45596</v>
      </c>
      <c r="C103" s="1" t="n">
        <v>46193</v>
      </c>
      <c r="D103" t="inlineStr">
        <is>
          <t>HALLANDS LÄN</t>
        </is>
      </c>
      <c r="E103" t="inlineStr">
        <is>
          <t>KUNGSBACKA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14052-2023</t>
        </is>
      </c>
      <c r="B104" s="1" t="n">
        <v>45008</v>
      </c>
      <c r="C104" s="1" t="n">
        <v>46193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62742-2022</t>
        </is>
      </c>
      <c r="B105" s="1" t="n">
        <v>44925</v>
      </c>
      <c r="C105" s="1" t="n">
        <v>46193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44353-2023</t>
        </is>
      </c>
      <c r="B106" s="1" t="n">
        <v>45188</v>
      </c>
      <c r="C106" s="1" t="n">
        <v>46193</v>
      </c>
      <c r="D106" t="inlineStr">
        <is>
          <t>HALLANDS LÄN</t>
        </is>
      </c>
      <c r="E106" t="inlineStr">
        <is>
          <t>KUNGSBACKA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48754-2023</t>
        </is>
      </c>
      <c r="B107" s="1" t="n">
        <v>45208</v>
      </c>
      <c r="C107" s="1" t="n">
        <v>46193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7810-2025</t>
        </is>
      </c>
      <c r="B108" s="1" t="n">
        <v>45706</v>
      </c>
      <c r="C108" s="1" t="n">
        <v>46193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53051-2021</t>
        </is>
      </c>
      <c r="B109" s="1" t="n">
        <v>44467</v>
      </c>
      <c r="C109" s="1" t="n">
        <v>46193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46193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</v>
      </c>
      <c r="C111" s="1" t="n">
        <v>46193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49492-2024</t>
        </is>
      </c>
      <c r="B112" s="1" t="n">
        <v>45596</v>
      </c>
      <c r="C112" s="1" t="n">
        <v>46193</v>
      </c>
      <c r="D112" t="inlineStr">
        <is>
          <t>HALLANDS LÄN</t>
        </is>
      </c>
      <c r="E112" t="inlineStr">
        <is>
          <t>KUNGSBACKA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27287-2023</t>
        </is>
      </c>
      <c r="B113" s="1" t="n">
        <v>45096</v>
      </c>
      <c r="C113" s="1" t="n">
        <v>46193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9409-2024</t>
        </is>
      </c>
      <c r="B114" s="1" t="n">
        <v>45359</v>
      </c>
      <c r="C114" s="1" t="n">
        <v>46193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9412-2024</t>
        </is>
      </c>
      <c r="B115" s="1" t="n">
        <v>45359</v>
      </c>
      <c r="C115" s="1" t="n">
        <v>46193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52909-2021</t>
        </is>
      </c>
      <c r="B116" s="1" t="n">
        <v>44467</v>
      </c>
      <c r="C116" s="1" t="n">
        <v>46193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31884-2022</t>
        </is>
      </c>
      <c r="B117" s="1" t="n">
        <v>44777</v>
      </c>
      <c r="C117" s="1" t="n">
        <v>46193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39292-2025</t>
        </is>
      </c>
      <c r="B118" s="1" t="n">
        <v>45889</v>
      </c>
      <c r="C118" s="1" t="n">
        <v>46193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39295-2025</t>
        </is>
      </c>
      <c r="B119" s="1" t="n">
        <v>45889</v>
      </c>
      <c r="C119" s="1" t="n">
        <v>46193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11154-2022</t>
        </is>
      </c>
      <c r="B120" s="1" t="n">
        <v>44629</v>
      </c>
      <c r="C120" s="1" t="n">
        <v>46193</v>
      </c>
      <c r="D120" t="inlineStr">
        <is>
          <t>HALLANDS LÄN</t>
        </is>
      </c>
      <c r="E120" t="inlineStr">
        <is>
          <t>KUNGSBACKA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39486-2025</t>
        </is>
      </c>
      <c r="B121" s="1" t="n">
        <v>45890</v>
      </c>
      <c r="C121" s="1" t="n">
        <v>46193</v>
      </c>
      <c r="D121" t="inlineStr">
        <is>
          <t>HALLANDS LÄN</t>
        </is>
      </c>
      <c r="E121" t="inlineStr">
        <is>
          <t>KUNGSBACKA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46193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46193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</v>
      </c>
      <c r="C124" s="1" t="n">
        <v>46193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</v>
      </c>
      <c r="C125" s="1" t="n">
        <v>46193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51978-2024</t>
        </is>
      </c>
      <c r="B126" s="1" t="n">
        <v>45607</v>
      </c>
      <c r="C126" s="1" t="n">
        <v>46193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46193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6318-2025</t>
        </is>
      </c>
      <c r="B128" s="1" t="n">
        <v>45698</v>
      </c>
      <c r="C128" s="1" t="n">
        <v>46193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11097-2023</t>
        </is>
      </c>
      <c r="B129" s="1" t="n">
        <v>44992</v>
      </c>
      <c r="C129" s="1" t="n">
        <v>46193</v>
      </c>
      <c r="D129" t="inlineStr">
        <is>
          <t>HALLANDS LÄN</t>
        </is>
      </c>
      <c r="E129" t="inlineStr">
        <is>
          <t>KUNGSBACKA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15060-2025</t>
        </is>
      </c>
      <c r="B130" s="1" t="n">
        <v>45743</v>
      </c>
      <c r="C130" s="1" t="n">
        <v>46193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15062-2025</t>
        </is>
      </c>
      <c r="B131" s="1" t="n">
        <v>45743</v>
      </c>
      <c r="C131" s="1" t="n">
        <v>46193</v>
      </c>
      <c r="D131" t="inlineStr">
        <is>
          <t>HALLANDS LÄN</t>
        </is>
      </c>
      <c r="E131" t="inlineStr">
        <is>
          <t>KUNGSBACKA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16045-2025</t>
        </is>
      </c>
      <c r="B132" s="1" t="n">
        <v>45749</v>
      </c>
      <c r="C132" s="1" t="n">
        <v>46193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61975-2024</t>
        </is>
      </c>
      <c r="B133" s="1" t="n">
        <v>45653</v>
      </c>
      <c r="C133" s="1" t="n">
        <v>46193</v>
      </c>
      <c r="D133" t="inlineStr">
        <is>
          <t>HALLANDS LÄN</t>
        </is>
      </c>
      <c r="E133" t="inlineStr">
        <is>
          <t>KUNGSBACKA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61977-2024</t>
        </is>
      </c>
      <c r="B134" s="1" t="n">
        <v>45653</v>
      </c>
      <c r="C134" s="1" t="n">
        <v>46193</v>
      </c>
      <c r="D134" t="inlineStr">
        <is>
          <t>HALLANDS LÄN</t>
        </is>
      </c>
      <c r="E134" t="inlineStr">
        <is>
          <t>KUNGSBACKA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12831-2025</t>
        </is>
      </c>
      <c r="B135" s="1" t="n">
        <v>45733</v>
      </c>
      <c r="C135" s="1" t="n">
        <v>46193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43655-2025</t>
        </is>
      </c>
      <c r="B136" s="1" t="n">
        <v>45912</v>
      </c>
      <c r="C136" s="1" t="n">
        <v>46193</v>
      </c>
      <c r="D136" t="inlineStr">
        <is>
          <t>HALLANDS LÄN</t>
        </is>
      </c>
      <c r="E136" t="inlineStr">
        <is>
          <t>KUNGSBACKA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12094-2025</t>
        </is>
      </c>
      <c r="B137" s="1" t="n">
        <v>45729</v>
      </c>
      <c r="C137" s="1" t="n">
        <v>46193</v>
      </c>
      <c r="D137" t="inlineStr">
        <is>
          <t>HALLANDS LÄN</t>
        </is>
      </c>
      <c r="E137" t="inlineStr">
        <is>
          <t>KUNGSBACKA</t>
        </is>
      </c>
      <c r="F137" t="inlineStr">
        <is>
          <t>Övriga Aktiebolag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28608-2023</t>
        </is>
      </c>
      <c r="B138" s="1" t="n">
        <v>45103</v>
      </c>
      <c r="C138" s="1" t="n">
        <v>46193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54319-2024</t>
        </is>
      </c>
      <c r="B139" s="1" t="n">
        <v>45617</v>
      </c>
      <c r="C139" s="1" t="n">
        <v>46193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59348-2023</t>
        </is>
      </c>
      <c r="B140" s="1" t="n">
        <v>45253</v>
      </c>
      <c r="C140" s="1" t="n">
        <v>46193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23994-2023</t>
        </is>
      </c>
      <c r="B141" s="1" t="n">
        <v>45078</v>
      </c>
      <c r="C141" s="1" t="n">
        <v>46193</v>
      </c>
      <c r="D141" t="inlineStr">
        <is>
          <t>HALLANDS LÄN</t>
        </is>
      </c>
      <c r="E141" t="inlineStr">
        <is>
          <t>KUNGSBACKA</t>
        </is>
      </c>
      <c r="F141" t="inlineStr">
        <is>
          <t>Övriga Aktiebolag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61446-2024</t>
        </is>
      </c>
      <c r="B142" s="1" t="n">
        <v>45646</v>
      </c>
      <c r="C142" s="1" t="n">
        <v>46193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4145-2024</t>
        </is>
      </c>
      <c r="B143" s="1" t="n">
        <v>45323</v>
      </c>
      <c r="C143" s="1" t="n">
        <v>46193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44674-2025</t>
        </is>
      </c>
      <c r="B144" s="1" t="n">
        <v>45917</v>
      </c>
      <c r="C144" s="1" t="n">
        <v>46193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20781-2025</t>
        </is>
      </c>
      <c r="B145" s="1" t="n">
        <v>45776</v>
      </c>
      <c r="C145" s="1" t="n">
        <v>46193</v>
      </c>
      <c r="D145" t="inlineStr">
        <is>
          <t>HALLANDS LÄN</t>
        </is>
      </c>
      <c r="E145" t="inlineStr">
        <is>
          <t>KUNGSBACKA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9965-2025</t>
        </is>
      </c>
      <c r="B146" s="1" t="n">
        <v>45719</v>
      </c>
      <c r="C146" s="1" t="n">
        <v>46193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9976-2025</t>
        </is>
      </c>
      <c r="B147" s="1" t="n">
        <v>45719</v>
      </c>
      <c r="C147" s="1" t="n">
        <v>46193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48406-2023</t>
        </is>
      </c>
      <c r="B148" s="1" t="n">
        <v>45205</v>
      </c>
      <c r="C148" s="1" t="n">
        <v>46193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45625-2025</t>
        </is>
      </c>
      <c r="B149" s="1" t="n">
        <v>45922</v>
      </c>
      <c r="C149" s="1" t="n">
        <v>46193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20881-2025</t>
        </is>
      </c>
      <c r="B150" s="1" t="n">
        <v>45777</v>
      </c>
      <c r="C150" s="1" t="n">
        <v>46193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20883-2025</t>
        </is>
      </c>
      <c r="B151" s="1" t="n">
        <v>45777</v>
      </c>
      <c r="C151" s="1" t="n">
        <v>46193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45631-2025</t>
        </is>
      </c>
      <c r="B152" s="1" t="n">
        <v>45922</v>
      </c>
      <c r="C152" s="1" t="n">
        <v>46193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61259-2025</t>
        </is>
      </c>
      <c r="B153" s="1" t="n">
        <v>46000</v>
      </c>
      <c r="C153" s="1" t="n">
        <v>46193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45632-2025</t>
        </is>
      </c>
      <c r="B154" s="1" t="n">
        <v>45922</v>
      </c>
      <c r="C154" s="1" t="n">
        <v>46193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</v>
      </c>
      <c r="C155" s="1" t="n">
        <v>46193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21968-2025</t>
        </is>
      </c>
      <c r="B156" s="1" t="n">
        <v>45784</v>
      </c>
      <c r="C156" s="1" t="n">
        <v>46193</v>
      </c>
      <c r="D156" t="inlineStr">
        <is>
          <t>HALLANDS LÄN</t>
        </is>
      </c>
      <c r="E156" t="inlineStr">
        <is>
          <t>KUNGSBACKA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11490-2025</t>
        </is>
      </c>
      <c r="B157" s="1" t="n">
        <v>45726</v>
      </c>
      <c r="C157" s="1" t="n">
        <v>46193</v>
      </c>
      <c r="D157" t="inlineStr">
        <is>
          <t>HALLANDS LÄN</t>
        </is>
      </c>
      <c r="E157" t="inlineStr">
        <is>
          <t>KUNGSBACKA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4985-2025</t>
        </is>
      </c>
      <c r="B158" s="1" t="n">
        <v>45691</v>
      </c>
      <c r="C158" s="1" t="n">
        <v>46193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12071-2025</t>
        </is>
      </c>
      <c r="B159" s="1" t="n">
        <v>45728</v>
      </c>
      <c r="C159" s="1" t="n">
        <v>46193</v>
      </c>
      <c r="D159" t="inlineStr">
        <is>
          <t>HALLANDS LÄN</t>
        </is>
      </c>
      <c r="E159" t="inlineStr">
        <is>
          <t>KUNGSBACKA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47452-2025</t>
        </is>
      </c>
      <c r="B160" s="1" t="n">
        <v>45930</v>
      </c>
      <c r="C160" s="1" t="n">
        <v>46193</v>
      </c>
      <c r="D160" t="inlineStr">
        <is>
          <t>HALLANDS LÄN</t>
        </is>
      </c>
      <c r="E160" t="inlineStr">
        <is>
          <t>KUNGSBACKA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46193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22594-2023</t>
        </is>
      </c>
      <c r="B162" s="1" t="n">
        <v>45071</v>
      </c>
      <c r="C162" s="1" t="n">
        <v>46193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16075-2025</t>
        </is>
      </c>
      <c r="B163" s="1" t="n">
        <v>45749</v>
      </c>
      <c r="C163" s="1" t="n">
        <v>46193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23579-2025</t>
        </is>
      </c>
      <c r="B164" s="1" t="n">
        <v>45792</v>
      </c>
      <c r="C164" s="1" t="n">
        <v>46193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53194-2024</t>
        </is>
      </c>
      <c r="B165" s="1" t="n">
        <v>45610</v>
      </c>
      <c r="C165" s="1" t="n">
        <v>46193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36368-2021</t>
        </is>
      </c>
      <c r="B166" s="1" t="n">
        <v>44390</v>
      </c>
      <c r="C166" s="1" t="n">
        <v>46193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24941-2024</t>
        </is>
      </c>
      <c r="B167" s="1" t="n">
        <v>45461</v>
      </c>
      <c r="C167" s="1" t="n">
        <v>46193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49912-2025</t>
        </is>
      </c>
      <c r="B168" s="1" t="n">
        <v>45940</v>
      </c>
      <c r="C168" s="1" t="n">
        <v>46193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3279-2025</t>
        </is>
      </c>
      <c r="B169" s="1" t="n">
        <v>45679</v>
      </c>
      <c r="C169" s="1" t="n">
        <v>46193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53378-2021</t>
        </is>
      </c>
      <c r="B170" s="1" t="n">
        <v>44468</v>
      </c>
      <c r="C170" s="1" t="n">
        <v>46193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26675-2026</t>
        </is>
      </c>
      <c r="B171" s="1" t="n">
        <v>46184</v>
      </c>
      <c r="C171" s="1" t="n">
        <v>46193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51523-2025</t>
        </is>
      </c>
      <c r="B172" s="1" t="n">
        <v>45950</v>
      </c>
      <c r="C172" s="1" t="n">
        <v>46193</v>
      </c>
      <c r="D172" t="inlineStr">
        <is>
          <t>HALLANDS LÄN</t>
        </is>
      </c>
      <c r="E172" t="inlineStr">
        <is>
          <t>KUNGSBACKA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46779-2022</t>
        </is>
      </c>
      <c r="B173" s="1" t="n">
        <v>44851</v>
      </c>
      <c r="C173" s="1" t="n">
        <v>46193</v>
      </c>
      <c r="D173" t="inlineStr">
        <is>
          <t>HALLANDS LÄN</t>
        </is>
      </c>
      <c r="E173" t="inlineStr">
        <is>
          <t>KUNGSBACKA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45892-2025</t>
        </is>
      </c>
      <c r="B174" s="1" t="n">
        <v>45923</v>
      </c>
      <c r="C174" s="1" t="n">
        <v>46193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26677-2026</t>
        </is>
      </c>
      <c r="B175" s="1" t="n">
        <v>46184</v>
      </c>
      <c r="C175" s="1" t="n">
        <v>46193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26699-2026</t>
        </is>
      </c>
      <c r="B176" s="1" t="n">
        <v>46184</v>
      </c>
      <c r="C176" s="1" t="n">
        <v>46193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26701-2026</t>
        </is>
      </c>
      <c r="B177" s="1" t="n">
        <v>46184</v>
      </c>
      <c r="C177" s="1" t="n">
        <v>46193</v>
      </c>
      <c r="D177" t="inlineStr">
        <is>
          <t>HALLANDS LÄN</t>
        </is>
      </c>
      <c r="E177" t="inlineStr">
        <is>
          <t>KUNGSBACKA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25269-2025</t>
        </is>
      </c>
      <c r="B178" s="1" t="n">
        <v>45800</v>
      </c>
      <c r="C178" s="1" t="n">
        <v>46193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26703-2026</t>
        </is>
      </c>
      <c r="B179" s="1" t="n">
        <v>46184</v>
      </c>
      <c r="C179" s="1" t="n">
        <v>46193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26726-2026</t>
        </is>
      </c>
      <c r="B180" s="1" t="n">
        <v>46184</v>
      </c>
      <c r="C180" s="1" t="n">
        <v>46193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26735-2026</t>
        </is>
      </c>
      <c r="B181" s="1" t="n">
        <v>46184</v>
      </c>
      <c r="C181" s="1" t="n">
        <v>46193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26733-2026</t>
        </is>
      </c>
      <c r="B182" s="1" t="n">
        <v>46184</v>
      </c>
      <c r="C182" s="1" t="n">
        <v>46193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52132-2025</t>
        </is>
      </c>
      <c r="B183" s="1" t="n">
        <v>45952</v>
      </c>
      <c r="C183" s="1" t="n">
        <v>46193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11961-2023</t>
        </is>
      </c>
      <c r="B184" s="1" t="n">
        <v>44994</v>
      </c>
      <c r="C184" s="1" t="n">
        <v>46193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61739-2023</t>
        </is>
      </c>
      <c r="B185" s="1" t="n">
        <v>45265</v>
      </c>
      <c r="C185" s="1" t="n">
        <v>46193</v>
      </c>
      <c r="D185" t="inlineStr">
        <is>
          <t>HALLANDS LÄN</t>
        </is>
      </c>
      <c r="E185" t="inlineStr">
        <is>
          <t>KUNGSBACKA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9417-2023</t>
        </is>
      </c>
      <c r="B186" s="1" t="n">
        <v>44981</v>
      </c>
      <c r="C186" s="1" t="n">
        <v>46193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10664-2025</t>
        </is>
      </c>
      <c r="B187" s="1" t="n">
        <v>45721</v>
      </c>
      <c r="C187" s="1" t="n">
        <v>46193</v>
      </c>
      <c r="D187" t="inlineStr">
        <is>
          <t>HALLANDS LÄN</t>
        </is>
      </c>
      <c r="E187" t="inlineStr">
        <is>
          <t>KUNGSBACKA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62142-2024</t>
        </is>
      </c>
      <c r="B188" s="1" t="n">
        <v>45656</v>
      </c>
      <c r="C188" s="1" t="n">
        <v>46193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62143-2024</t>
        </is>
      </c>
      <c r="B189" s="1" t="n">
        <v>45656</v>
      </c>
      <c r="C189" s="1" t="n">
        <v>46193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53487-2025</t>
        </is>
      </c>
      <c r="B190" s="1" t="n">
        <v>45960</v>
      </c>
      <c r="C190" s="1" t="n">
        <v>46193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4919-2024</t>
        </is>
      </c>
      <c r="B191" s="1" t="n">
        <v>45329</v>
      </c>
      <c r="C191" s="1" t="n">
        <v>46193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17293-2025</t>
        </is>
      </c>
      <c r="B192" s="1" t="n">
        <v>45756</v>
      </c>
      <c r="C192" s="1" t="n">
        <v>46193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16887-2025</t>
        </is>
      </c>
      <c r="B193" s="1" t="n">
        <v>45755</v>
      </c>
      <c r="C193" s="1" t="n">
        <v>46193</v>
      </c>
      <c r="D193" t="inlineStr">
        <is>
          <t>HALLANDS LÄN</t>
        </is>
      </c>
      <c r="E193" t="inlineStr">
        <is>
          <t>KUNGSBACKA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61976-2024</t>
        </is>
      </c>
      <c r="B194" s="1" t="n">
        <v>45653</v>
      </c>
      <c r="C194" s="1" t="n">
        <v>46193</v>
      </c>
      <c r="D194" t="inlineStr">
        <is>
          <t>HALLANDS LÄN</t>
        </is>
      </c>
      <c r="E194" t="inlineStr">
        <is>
          <t>KUNGSBACKA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54314-2025</t>
        </is>
      </c>
      <c r="B195" s="1" t="n">
        <v>45965</v>
      </c>
      <c r="C195" s="1" t="n">
        <v>46193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27975-2025</t>
        </is>
      </c>
      <c r="B196" s="1" t="n">
        <v>45817</v>
      </c>
      <c r="C196" s="1" t="n">
        <v>46193</v>
      </c>
      <c r="D196" t="inlineStr">
        <is>
          <t>HALLANDS LÄN</t>
        </is>
      </c>
      <c r="E196" t="inlineStr">
        <is>
          <t>KUNGSBACKA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28610-2023</t>
        </is>
      </c>
      <c r="B197" s="1" t="n">
        <v>45103</v>
      </c>
      <c r="C197" s="1" t="n">
        <v>46193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20828-2025</t>
        </is>
      </c>
      <c r="B198" s="1" t="n">
        <v>45776</v>
      </c>
      <c r="C198" s="1" t="n">
        <v>46193</v>
      </c>
      <c r="D198" t="inlineStr">
        <is>
          <t>HALLANDS LÄN</t>
        </is>
      </c>
      <c r="E198" t="inlineStr">
        <is>
          <t>KUNGSBACKA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55272-2025</t>
        </is>
      </c>
      <c r="B199" s="1" t="n">
        <v>45968</v>
      </c>
      <c r="C199" s="1" t="n">
        <v>46193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27977-2025</t>
        </is>
      </c>
      <c r="B200" s="1" t="n">
        <v>45817</v>
      </c>
      <c r="C200" s="1" t="n">
        <v>46193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28331-2025</t>
        </is>
      </c>
      <c r="B201" s="1" t="n">
        <v>45818</v>
      </c>
      <c r="C201" s="1" t="n">
        <v>46193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42412-2022</t>
        </is>
      </c>
      <c r="B202" s="1" t="n">
        <v>44831</v>
      </c>
      <c r="C202" s="1" t="n">
        <v>46193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28383-2025</t>
        </is>
      </c>
      <c r="B203" s="1" t="n">
        <v>45819</v>
      </c>
      <c r="C203" s="1" t="n">
        <v>46193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28900-2025</t>
        </is>
      </c>
      <c r="B204" s="1" t="n">
        <v>45820</v>
      </c>
      <c r="C204" s="1" t="n">
        <v>46193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12064-2023</t>
        </is>
      </c>
      <c r="B205" s="1" t="n">
        <v>44997</v>
      </c>
      <c r="C205" s="1" t="n">
        <v>46193</v>
      </c>
      <c r="D205" t="inlineStr">
        <is>
          <t>HALLANDS LÄN</t>
        </is>
      </c>
      <c r="E205" t="inlineStr">
        <is>
          <t>KUNGSBACKA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71676-2021</t>
        </is>
      </c>
      <c r="B206" s="1" t="n">
        <v>44539</v>
      </c>
      <c r="C206" s="1" t="n">
        <v>46193</v>
      </c>
      <c r="D206" t="inlineStr">
        <is>
          <t>HALLANDS LÄN</t>
        </is>
      </c>
      <c r="E206" t="inlineStr">
        <is>
          <t>KUNGSBACKA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14898-2023</t>
        </is>
      </c>
      <c r="B207" s="1" t="n">
        <v>45014</v>
      </c>
      <c r="C207" s="1" t="n">
        <v>46193</v>
      </c>
      <c r="D207" t="inlineStr">
        <is>
          <t>HALLANDS LÄN</t>
        </is>
      </c>
      <c r="E207" t="inlineStr">
        <is>
          <t>KUNGSBACKA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49489-2024</t>
        </is>
      </c>
      <c r="B208" s="1" t="n">
        <v>45596</v>
      </c>
      <c r="C208" s="1" t="n">
        <v>46193</v>
      </c>
      <c r="D208" t="inlineStr">
        <is>
          <t>HALLANDS LÄN</t>
        </is>
      </c>
      <c r="E208" t="inlineStr">
        <is>
          <t>KUNGSBACKA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32894-2025</t>
        </is>
      </c>
      <c r="B209" s="1" t="n">
        <v>45839</v>
      </c>
      <c r="C209" s="1" t="n">
        <v>46193</v>
      </c>
      <c r="D209" t="inlineStr">
        <is>
          <t>HALLANDS LÄN</t>
        </is>
      </c>
      <c r="E209" t="inlineStr">
        <is>
          <t>KUNGSBACKA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15163-2024</t>
        </is>
      </c>
      <c r="B210" s="1" t="n">
        <v>45400</v>
      </c>
      <c r="C210" s="1" t="n">
        <v>46193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34086-2025</t>
        </is>
      </c>
      <c r="B211" s="1" t="n">
        <v>45845</v>
      </c>
      <c r="C211" s="1" t="n">
        <v>46193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34360-2025</t>
        </is>
      </c>
      <c r="B212" s="1" t="n">
        <v>45846</v>
      </c>
      <c r="C212" s="1" t="n">
        <v>46193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34407-2025</t>
        </is>
      </c>
      <c r="B213" s="1" t="n">
        <v>45846</v>
      </c>
      <c r="C213" s="1" t="n">
        <v>46193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34782-2025</t>
        </is>
      </c>
      <c r="B214" s="1" t="n">
        <v>45848</v>
      </c>
      <c r="C214" s="1" t="n">
        <v>46193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63598-2023</t>
        </is>
      </c>
      <c r="B215" s="1" t="n">
        <v>45275</v>
      </c>
      <c r="C215" s="1" t="n">
        <v>46193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34660-2025</t>
        </is>
      </c>
      <c r="B216" s="1" t="n">
        <v>45848</v>
      </c>
      <c r="C216" s="1" t="n">
        <v>46193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34975-2025</t>
        </is>
      </c>
      <c r="B217" s="1" t="n">
        <v>45849</v>
      </c>
      <c r="C217" s="1" t="n">
        <v>46193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35399-2025</t>
        </is>
      </c>
      <c r="B218" s="1" t="n">
        <v>45855</v>
      </c>
      <c r="C218" s="1" t="n">
        <v>46193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60004-2025</t>
        </is>
      </c>
      <c r="B219" s="1" t="n">
        <v>45993</v>
      </c>
      <c r="C219" s="1" t="n">
        <v>46193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35801-2025</t>
        </is>
      </c>
      <c r="B220" s="1" t="n">
        <v>45861</v>
      </c>
      <c r="C220" s="1" t="n">
        <v>46193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35898-2025</t>
        </is>
      </c>
      <c r="B221" s="1" t="n">
        <v>45862</v>
      </c>
      <c r="C221" s="1" t="n">
        <v>46193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18179-2025</t>
        </is>
      </c>
      <c r="B222" s="1" t="n">
        <v>45761</v>
      </c>
      <c r="C222" s="1" t="n">
        <v>46193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46193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28574-2024</t>
        </is>
      </c>
      <c r="B224" s="1" t="n">
        <v>45478</v>
      </c>
      <c r="C224" s="1" t="n">
        <v>46193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7709-2025</t>
        </is>
      </c>
      <c r="B225" s="1" t="n">
        <v>45706</v>
      </c>
      <c r="C225" s="1" t="n">
        <v>46193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7718-2025</t>
        </is>
      </c>
      <c r="B226" s="1" t="n">
        <v>45706</v>
      </c>
      <c r="C226" s="1" t="n">
        <v>46193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34620-2025</t>
        </is>
      </c>
      <c r="B227" s="1" t="n">
        <v>45847</v>
      </c>
      <c r="C227" s="1" t="n">
        <v>46193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36770-2025</t>
        </is>
      </c>
      <c r="B228" s="1" t="n">
        <v>45873</v>
      </c>
      <c r="C228" s="1" t="n">
        <v>46193</v>
      </c>
      <c r="D228" t="inlineStr">
        <is>
          <t>HALLANDS LÄN</t>
        </is>
      </c>
      <c r="E228" t="inlineStr">
        <is>
          <t>KUNGSBACKA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28583-2024</t>
        </is>
      </c>
      <c r="B229" s="1" t="n">
        <v>45478</v>
      </c>
      <c r="C229" s="1" t="n">
        <v>46193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58890-2024</t>
        </is>
      </c>
      <c r="B230" s="1" t="n">
        <v>45636</v>
      </c>
      <c r="C230" s="1" t="n">
        <v>46193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61621-2025</t>
        </is>
      </c>
      <c r="B231" s="1" t="n">
        <v>46002</v>
      </c>
      <c r="C231" s="1" t="n">
        <v>46193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47321-2024</t>
        </is>
      </c>
      <c r="B232" s="1" t="n">
        <v>45587</v>
      </c>
      <c r="C232" s="1" t="n">
        <v>46193</v>
      </c>
      <c r="D232" t="inlineStr">
        <is>
          <t>HALLANDS LÄN</t>
        </is>
      </c>
      <c r="E232" t="inlineStr">
        <is>
          <t>KUNGSBACKA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59696-2024</t>
        </is>
      </c>
      <c r="B233" s="1" t="n">
        <v>45639</v>
      </c>
      <c r="C233" s="1" t="n">
        <v>46193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6103-2024</t>
        </is>
      </c>
      <c r="B234" s="1" t="n">
        <v>45337</v>
      </c>
      <c r="C234" s="1" t="n">
        <v>46193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6214-2024</t>
        </is>
      </c>
      <c r="B235" s="1" t="n">
        <v>45337</v>
      </c>
      <c r="C235" s="1" t="n">
        <v>46193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16230-2023</t>
        </is>
      </c>
      <c r="B236" s="1" t="n">
        <v>45028</v>
      </c>
      <c r="C236" s="1" t="n">
        <v>46193</v>
      </c>
      <c r="D236" t="inlineStr">
        <is>
          <t>HALLANDS LÄN</t>
        </is>
      </c>
      <c r="E236" t="inlineStr">
        <is>
          <t>KUNGSBACKA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34315-2024</t>
        </is>
      </c>
      <c r="B237" s="1" t="n">
        <v>45524</v>
      </c>
      <c r="C237" s="1" t="n">
        <v>46193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34319-2024</t>
        </is>
      </c>
      <c r="B238" s="1" t="n">
        <v>45524</v>
      </c>
      <c r="C238" s="1" t="n">
        <v>46193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57812-2024</t>
        </is>
      </c>
      <c r="B239" s="1" t="n">
        <v>45631</v>
      </c>
      <c r="C239" s="1" t="n">
        <v>46193</v>
      </c>
      <c r="D239" t="inlineStr">
        <is>
          <t>HALLANDS LÄN</t>
        </is>
      </c>
      <c r="E239" t="inlineStr">
        <is>
          <t>KUNGSBACKA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4382-2025</t>
        </is>
      </c>
      <c r="B240" s="1" t="n">
        <v>45686</v>
      </c>
      <c r="C240" s="1" t="n">
        <v>46193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21279-2024</t>
        </is>
      </c>
      <c r="B241" s="1" t="n">
        <v>45440</v>
      </c>
      <c r="C241" s="1" t="n">
        <v>46193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36597-2023</t>
        </is>
      </c>
      <c r="B242" s="1" t="n">
        <v>45153</v>
      </c>
      <c r="C242" s="1" t="n">
        <v>46193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10396-2024</t>
        </is>
      </c>
      <c r="B243" s="1" t="n">
        <v>45365</v>
      </c>
      <c r="C243" s="1" t="n">
        <v>46193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14721-2025</t>
        </is>
      </c>
      <c r="B244" s="1" t="n">
        <v>45742</v>
      </c>
      <c r="C244" s="1" t="n">
        <v>46193</v>
      </c>
      <c r="D244" t="inlineStr">
        <is>
          <t>HALLANDS LÄN</t>
        </is>
      </c>
      <c r="E244" t="inlineStr">
        <is>
          <t>KUNGSBACKA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46193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31885-2023</t>
        </is>
      </c>
      <c r="B246" s="1" t="n">
        <v>45118</v>
      </c>
      <c r="C246" s="1" t="n">
        <v>46193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21163-2023</t>
        </is>
      </c>
      <c r="B247" s="1" t="n">
        <v>45062</v>
      </c>
      <c r="C247" s="1" t="n">
        <v>46193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63104-2023</t>
        </is>
      </c>
      <c r="B248" s="1" t="n">
        <v>45273</v>
      </c>
      <c r="C248" s="1" t="n">
        <v>46193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46193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33983-2023</t>
        </is>
      </c>
      <c r="B250" s="1" t="n">
        <v>45134</v>
      </c>
      <c r="C250" s="1" t="n">
        <v>46193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36654-2024</t>
        </is>
      </c>
      <c r="B251" s="1" t="n">
        <v>45537</v>
      </c>
      <c r="C251" s="1" t="n">
        <v>46193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59726-2024</t>
        </is>
      </c>
      <c r="B252" s="1" t="n">
        <v>45639</v>
      </c>
      <c r="C252" s="1" t="n">
        <v>46193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6757-2025</t>
        </is>
      </c>
      <c r="B253" s="1" t="n">
        <v>45700</v>
      </c>
      <c r="C253" s="1" t="n">
        <v>46193</v>
      </c>
      <c r="D253" t="inlineStr">
        <is>
          <t>HALLANDS LÄN</t>
        </is>
      </c>
      <c r="E253" t="inlineStr">
        <is>
          <t>KUNGSBACKA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21171-2023</t>
        </is>
      </c>
      <c r="B254" s="1" t="n">
        <v>45062</v>
      </c>
      <c r="C254" s="1" t="n">
        <v>46193</v>
      </c>
      <c r="D254" t="inlineStr">
        <is>
          <t>HALLANDS LÄN</t>
        </is>
      </c>
      <c r="E254" t="inlineStr">
        <is>
          <t>KUNGSBACKA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21306-2023</t>
        </is>
      </c>
      <c r="B255" s="1" t="n">
        <v>45062</v>
      </c>
      <c r="C255" s="1" t="n">
        <v>46193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58779-2024</t>
        </is>
      </c>
      <c r="B256" s="1" t="n">
        <v>45635</v>
      </c>
      <c r="C256" s="1" t="n">
        <v>46193</v>
      </c>
      <c r="D256" t="inlineStr">
        <is>
          <t>HALLANDS LÄN</t>
        </is>
      </c>
      <c r="E256" t="inlineStr">
        <is>
          <t>KUNGSBACKA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2074-2025</t>
        </is>
      </c>
      <c r="B257" s="1" t="n">
        <v>45672</v>
      </c>
      <c r="C257" s="1" t="n">
        <v>46193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41855-2024</t>
        </is>
      </c>
      <c r="B258" s="1" t="n">
        <v>45561</v>
      </c>
      <c r="C258" s="1" t="n">
        <v>46193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45281-2024</t>
        </is>
      </c>
      <c r="B259" s="1" t="n">
        <v>45576</v>
      </c>
      <c r="C259" s="1" t="n">
        <v>46193</v>
      </c>
      <c r="D259" t="inlineStr">
        <is>
          <t>HALLANDS LÄN</t>
        </is>
      </c>
      <c r="E259" t="inlineStr">
        <is>
          <t>KUNGSBACKA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62664-2022</t>
        </is>
      </c>
      <c r="B260" s="1" t="n">
        <v>44925</v>
      </c>
      <c r="C260" s="1" t="n">
        <v>46193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22003-2024</t>
        </is>
      </c>
      <c r="B261" s="1" t="n">
        <v>45443</v>
      </c>
      <c r="C261" s="1" t="n">
        <v>46193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37051-2025</t>
        </is>
      </c>
      <c r="B262" s="1" t="n">
        <v>45875</v>
      </c>
      <c r="C262" s="1" t="n">
        <v>46193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22589-2023</t>
        </is>
      </c>
      <c r="B263" s="1" t="n">
        <v>45071</v>
      </c>
      <c r="C263" s="1" t="n">
        <v>46193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51-2025</t>
        </is>
      </c>
      <c r="B264" s="1" t="n">
        <v>45659</v>
      </c>
      <c r="C264" s="1" t="n">
        <v>46193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62141-2024</t>
        </is>
      </c>
      <c r="B265" s="1" t="n">
        <v>45656</v>
      </c>
      <c r="C265" s="1" t="n">
        <v>46193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37995-2025</t>
        </is>
      </c>
      <c r="B266" s="1" t="n">
        <v>45881</v>
      </c>
      <c r="C266" s="1" t="n">
        <v>46193</v>
      </c>
      <c r="D266" t="inlineStr">
        <is>
          <t>HALLANDS LÄN</t>
        </is>
      </c>
      <c r="E266" t="inlineStr">
        <is>
          <t>KUNGSBACKA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10572-2024</t>
        </is>
      </c>
      <c r="B267" s="1" t="n">
        <v>45366</v>
      </c>
      <c r="C267" s="1" t="n">
        <v>46193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11306-2024</t>
        </is>
      </c>
      <c r="B268" s="1" t="n">
        <v>45371</v>
      </c>
      <c r="C268" s="1" t="n">
        <v>46193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6504-2022</t>
        </is>
      </c>
      <c r="B269" s="1" t="n">
        <v>44601</v>
      </c>
      <c r="C269" s="1" t="n">
        <v>46193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21756-2026</t>
        </is>
      </c>
      <c r="B270" s="1" t="n">
        <v>46149</v>
      </c>
      <c r="C270" s="1" t="n">
        <v>46193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274-2026</t>
        </is>
      </c>
      <c r="B271" s="1" t="n">
        <v>46027</v>
      </c>
      <c r="C271" s="1" t="n">
        <v>46193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33646-2022</t>
        </is>
      </c>
      <c r="B272" s="1" t="n">
        <v>44789</v>
      </c>
      <c r="C272" s="1" t="n">
        <v>46193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7798-2025</t>
        </is>
      </c>
      <c r="B273" s="1" t="n">
        <v>45706</v>
      </c>
      <c r="C273" s="1" t="n">
        <v>46193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1379-2026</t>
        </is>
      </c>
      <c r="B274" s="1" t="n">
        <v>46031</v>
      </c>
      <c r="C274" s="1" t="n">
        <v>46193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1383-2026</t>
        </is>
      </c>
      <c r="B275" s="1" t="n">
        <v>46031</v>
      </c>
      <c r="C275" s="1" t="n">
        <v>46193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1385-2026</t>
        </is>
      </c>
      <c r="B276" s="1" t="n">
        <v>46031</v>
      </c>
      <c r="C276" s="1" t="n">
        <v>46193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59623-2024</t>
        </is>
      </c>
      <c r="B277" s="1" t="n">
        <v>45638</v>
      </c>
      <c r="C277" s="1" t="n">
        <v>46193</v>
      </c>
      <c r="D277" t="inlineStr">
        <is>
          <t>HALLANDS LÄN</t>
        </is>
      </c>
      <c r="E277" t="inlineStr">
        <is>
          <t>KUNGSBACKA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8677-2022</t>
        </is>
      </c>
      <c r="B278" s="1" t="n">
        <v>44613</v>
      </c>
      <c r="C278" s="1" t="n">
        <v>46193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31302-2022</t>
        </is>
      </c>
      <c r="B279" s="1" t="n">
        <v>44773</v>
      </c>
      <c r="C279" s="1" t="n">
        <v>46193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27295-2023</t>
        </is>
      </c>
      <c r="B280" s="1" t="n">
        <v>45096</v>
      </c>
      <c r="C280" s="1" t="n">
        <v>46193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58324-2024</t>
        </is>
      </c>
      <c r="B281" s="1" t="n">
        <v>45632</v>
      </c>
      <c r="C281" s="1" t="n">
        <v>46193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58330-2024</t>
        </is>
      </c>
      <c r="B282" s="1" t="n">
        <v>45632</v>
      </c>
      <c r="C282" s="1" t="n">
        <v>46193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46193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10124-2025</t>
        </is>
      </c>
      <c r="B284" s="1" t="n">
        <v>45719</v>
      </c>
      <c r="C284" s="1" t="n">
        <v>46193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10140-2025</t>
        </is>
      </c>
      <c r="B285" s="1" t="n">
        <v>45719</v>
      </c>
      <c r="C285" s="1" t="n">
        <v>46193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46193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16041-2025</t>
        </is>
      </c>
      <c r="B287" s="1" t="n">
        <v>45749</v>
      </c>
      <c r="C287" s="1" t="n">
        <v>46193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6135-2026</t>
        </is>
      </c>
      <c r="B288" s="1" t="n">
        <v>46054</v>
      </c>
      <c r="C288" s="1" t="n">
        <v>46193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</v>
      </c>
      <c r="C289" s="1" t="n">
        <v>46193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6136-2026</t>
        </is>
      </c>
      <c r="B290" s="1" t="n">
        <v>46054</v>
      </c>
      <c r="C290" s="1" t="n">
        <v>46193</v>
      </c>
      <c r="D290" t="inlineStr">
        <is>
          <t>HALLANDS LÄN</t>
        </is>
      </c>
      <c r="E290" t="inlineStr">
        <is>
          <t>KUNGSBACKA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6137-2026</t>
        </is>
      </c>
      <c r="B291" s="1" t="n">
        <v>46054</v>
      </c>
      <c r="C291" s="1" t="n">
        <v>46193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8743-2026</t>
        </is>
      </c>
      <c r="B292" s="1" t="n">
        <v>46066</v>
      </c>
      <c r="C292" s="1" t="n">
        <v>46193</v>
      </c>
      <c r="D292" t="inlineStr">
        <is>
          <t>HALLANDS LÄN</t>
        </is>
      </c>
      <c r="E292" t="inlineStr">
        <is>
          <t>KUNGSBACKA</t>
        </is>
      </c>
      <c r="F292" t="inlineStr">
        <is>
          <t>Kommuner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46193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62741-2022</t>
        </is>
      </c>
      <c r="B294" s="1" t="n">
        <v>44925</v>
      </c>
      <c r="C294" s="1" t="n">
        <v>46193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15020-2025</t>
        </is>
      </c>
      <c r="B295" s="1" t="n">
        <v>45743</v>
      </c>
      <c r="C295" s="1" t="n">
        <v>46193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37823-2023</t>
        </is>
      </c>
      <c r="B296" s="1" t="n">
        <v>45160</v>
      </c>
      <c r="C296" s="1" t="n">
        <v>46193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10572-2026</t>
        </is>
      </c>
      <c r="B297" s="1" t="n">
        <v>46077</v>
      </c>
      <c r="C297" s="1" t="n">
        <v>46193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8170-2026</t>
        </is>
      </c>
      <c r="B298" s="1" t="n">
        <v>46063</v>
      </c>
      <c r="C298" s="1" t="n">
        <v>46193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10751-2026</t>
        </is>
      </c>
      <c r="B299" s="1" t="n">
        <v>46078</v>
      </c>
      <c r="C299" s="1" t="n">
        <v>46193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10753-2026</t>
        </is>
      </c>
      <c r="B300" s="1" t="n">
        <v>46078</v>
      </c>
      <c r="C300" s="1" t="n">
        <v>46193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8167-2026</t>
        </is>
      </c>
      <c r="B301" s="1" t="n">
        <v>46063</v>
      </c>
      <c r="C301" s="1" t="n">
        <v>46193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10799-2026</t>
        </is>
      </c>
      <c r="B302" s="1" t="n">
        <v>46078</v>
      </c>
      <c r="C302" s="1" t="n">
        <v>46193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46193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7069-2025</t>
        </is>
      </c>
      <c r="B304" s="1" t="n">
        <v>45701</v>
      </c>
      <c r="C304" s="1" t="n">
        <v>46193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12048-2026</t>
        </is>
      </c>
      <c r="B305" s="1" t="n">
        <v>46086</v>
      </c>
      <c r="C305" s="1" t="n">
        <v>46193</v>
      </c>
      <c r="D305" t="inlineStr">
        <is>
          <t>HALLANDS LÄN</t>
        </is>
      </c>
      <c r="E305" t="inlineStr">
        <is>
          <t>KUNGSBACKA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12218-2025</t>
        </is>
      </c>
      <c r="B306" s="1" t="n">
        <v>45729</v>
      </c>
      <c r="C306" s="1" t="n">
        <v>46193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46193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</v>
      </c>
      <c r="C308" s="1" t="n">
        <v>46193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46193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</v>
      </c>
      <c r="C310" s="1" t="n">
        <v>46193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</v>
      </c>
      <c r="C311" s="1" t="n">
        <v>46193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46193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31617-2022</t>
        </is>
      </c>
      <c r="B313" s="1" t="n">
        <v>44775</v>
      </c>
      <c r="C313" s="1" t="n">
        <v>46193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57056-2022</t>
        </is>
      </c>
      <c r="B314" s="1" t="n">
        <v>44895</v>
      </c>
      <c r="C314" s="1" t="n">
        <v>46193</v>
      </c>
      <c r="D314" t="inlineStr">
        <is>
          <t>HALLANDS LÄN</t>
        </is>
      </c>
      <c r="E314" t="inlineStr">
        <is>
          <t>KUNGSBACKA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21944-2026</t>
        </is>
      </c>
      <c r="B315" s="1" t="n">
        <v>46150</v>
      </c>
      <c r="C315" s="1" t="n">
        <v>46193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16918-2026</t>
        </is>
      </c>
      <c r="B316" s="1" t="n">
        <v>46113</v>
      </c>
      <c r="C316" s="1" t="n">
        <v>46193</v>
      </c>
      <c r="D316" t="inlineStr">
        <is>
          <t>HALLANDS LÄN</t>
        </is>
      </c>
      <c r="E316" t="inlineStr">
        <is>
          <t>KUNGSBACKA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18077-2026</t>
        </is>
      </c>
      <c r="B317" s="1" t="n">
        <v>46125</v>
      </c>
      <c r="C317" s="1" t="n">
        <v>46193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18480-2026</t>
        </is>
      </c>
      <c r="B318" s="1" t="n">
        <v>46127</v>
      </c>
      <c r="C318" s="1" t="n">
        <v>46193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18057-2022</t>
        </is>
      </c>
      <c r="B319" s="1" t="n">
        <v>44684</v>
      </c>
      <c r="C319" s="1" t="n">
        <v>46193</v>
      </c>
      <c r="D319" t="inlineStr">
        <is>
          <t>HALLANDS LÄN</t>
        </is>
      </c>
      <c r="E319" t="inlineStr">
        <is>
          <t>KUNGSBACKA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18481-2026</t>
        </is>
      </c>
      <c r="B320" s="1" t="n">
        <v>46127</v>
      </c>
      <c r="C320" s="1" t="n">
        <v>46193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25337-2026</t>
        </is>
      </c>
      <c r="B321" s="1" t="n">
        <v>46176</v>
      </c>
      <c r="C321" s="1" t="n">
        <v>46193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25351-2026</t>
        </is>
      </c>
      <c r="B322" s="1" t="n">
        <v>46176</v>
      </c>
      <c r="C322" s="1" t="n">
        <v>46193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25347-2026</t>
        </is>
      </c>
      <c r="B323" s="1" t="n">
        <v>46176</v>
      </c>
      <c r="C323" s="1" t="n">
        <v>46193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25346-2026</t>
        </is>
      </c>
      <c r="B324" s="1" t="n">
        <v>46176</v>
      </c>
      <c r="C324" s="1" t="n">
        <v>46193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25349-2026</t>
        </is>
      </c>
      <c r="B325" s="1" t="n">
        <v>46176</v>
      </c>
      <c r="C325" s="1" t="n">
        <v>46193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39154-2025</t>
        </is>
      </c>
      <c r="B326" s="1" t="n">
        <v>45888</v>
      </c>
      <c r="C326" s="1" t="n">
        <v>46193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11204-2025</t>
        </is>
      </c>
      <c r="B327" s="1" t="n">
        <v>45726</v>
      </c>
      <c r="C327" s="1" t="n">
        <v>46193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</v>
      </c>
      <c r="C328" s="1" t="n">
        <v>46193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25757-2025</t>
        </is>
      </c>
      <c r="B329" s="1" t="n">
        <v>45801</v>
      </c>
      <c r="C329" s="1" t="n">
        <v>46193</v>
      </c>
      <c r="D329" t="inlineStr">
        <is>
          <t>HALLANDS LÄN</t>
        </is>
      </c>
      <c r="E329" t="inlineStr">
        <is>
          <t>KUNGSBACKA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15122-2025</t>
        </is>
      </c>
      <c r="B330" s="1" t="n">
        <v>45744</v>
      </c>
      <c r="C330" s="1" t="n">
        <v>46193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26866-2025</t>
        </is>
      </c>
      <c r="B331" s="1" t="n">
        <v>45810</v>
      </c>
      <c r="C331" s="1" t="n">
        <v>46193</v>
      </c>
      <c r="D331" t="inlineStr">
        <is>
          <t>HALLANDS LÄN</t>
        </is>
      </c>
      <c r="E331" t="inlineStr">
        <is>
          <t>KUNGSBACKA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48486-2025</t>
        </is>
      </c>
      <c r="B332" s="1" t="n">
        <v>45936</v>
      </c>
      <c r="C332" s="1" t="n">
        <v>46193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61424-2025</t>
        </is>
      </c>
      <c r="B333" s="1" t="n">
        <v>46001</v>
      </c>
      <c r="C333" s="1" t="n">
        <v>46193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11938-2025</t>
        </is>
      </c>
      <c r="B334" s="1" t="n">
        <v>45728</v>
      </c>
      <c r="C334" s="1" t="n">
        <v>46193</v>
      </c>
      <c r="D334" t="inlineStr">
        <is>
          <t>HALLANDS LÄN</t>
        </is>
      </c>
      <c r="E334" t="inlineStr">
        <is>
          <t>KUNGSBACKA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31344-2024</t>
        </is>
      </c>
      <c r="B335" s="1" t="n">
        <v>45504</v>
      </c>
      <c r="C335" s="1" t="n">
        <v>46193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36284-2025</t>
        </is>
      </c>
      <c r="B336" s="1" t="n">
        <v>45867</v>
      </c>
      <c r="C336" s="1" t="n">
        <v>46193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28879-2025</t>
        </is>
      </c>
      <c r="B337" s="1" t="n">
        <v>45820</v>
      </c>
      <c r="C337" s="1" t="n">
        <v>46193</v>
      </c>
      <c r="D337" t="inlineStr">
        <is>
          <t>HALLANDS LÄN</t>
        </is>
      </c>
      <c r="E337" t="inlineStr">
        <is>
          <t>KUNGSBACKA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2026-06-20T00:48:46Z</dcterms:created>
  <dcterms:modified xmlns:dcterms="http://purl.org/dc/terms/" xmlns:xsi="http://www.w3.org/2001/XMLSchema-instance" xsi:type="dcterms:W3CDTF">2026-06-20T00:48:47Z</dcterms:modified>
</cp:coreProperties>
</file>