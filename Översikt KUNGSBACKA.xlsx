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46297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46297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46297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46297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18160-2026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46125</v>
      </c>
      <c r="E10" s="1" t="n">
        <v>46297</v>
      </c>
      <c r="F10" t="inlineStr">
        <is>
          <t>HALLANDS LÄN</t>
        </is>
      </c>
      <c r="G10" t="inlineStr">
        <is>
          <t>KUNGSBACKA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0</v>
      </c>
      <c r="V10" s="2" t="inlineStr">
        <is>
          <t>Järnek
Igelkott</t>
        </is>
      </c>
      <c r="W10">
        <f>HYPERLINK("https://klasma.github.io/Logging_1384/artfynd/A 18160-2026 artfynd.xlsx", "A 18160-2026")</f>
        <v/>
      </c>
      <c r="X10">
        <f>HYPERLINK("https://klasma.github.io/Logging_1384/kartor/A 18160-2026 karta.png", "A 18160-2026")</f>
        <v/>
      </c>
      <c r="Y10">
        <f>HYPERLINK("https://klasma.github.io/Logging_1384/kartor_geotiff/A 18160-2026 georefererad karta.tif", "A 18160-2026")</f>
        <v/>
      </c>
      <c r="AA10">
        <f>HYPERLINK("https://klasma.github.io/Logging_1384/klagomål/A 18160-2026 FSC-klagomål.docx", "A 18160-2026")</f>
        <v/>
      </c>
      <c r="AB10">
        <f>HYPERLINK("https://klasma.github.io/Logging_1384/klagomålsmail/A 18160-2026 FSC-klagomål mail.docx", "A 18160-2026")</f>
        <v/>
      </c>
      <c r="AC10">
        <f>HYPERLINK("https://klasma.github.io/Logging_1384/tillsyn/A 18160-2026 tillsynsbegäran.docx", "A 18160-2026")</f>
        <v/>
      </c>
      <c r="AD10">
        <f>HYPERLINK("https://klasma.github.io/Logging_1384/tillsynsmail/A 18160-2026 tillsynsbegäran mail.docx", "A 18160-2026")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46297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46297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46297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46297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46297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46297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46297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46297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46297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46297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35165-2026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46260</v>
      </c>
      <c r="E24" s="1" t="n">
        <v>46297</v>
      </c>
      <c r="F24" t="inlineStr">
        <is>
          <t>HALLANDS LÄN</t>
        </is>
      </c>
      <c r="G24" t="inlineStr">
        <is>
          <t>KUNGSBACKA</t>
        </is>
      </c>
      <c r="I24" t="n">
        <v>6.3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HYPERLINK("https://klasma.github.io/Logging_1384/artfynd/A 35165-2026 artfynd.xlsx", "A 35165-2026")</f>
        <v/>
      </c>
      <c r="X24">
        <f>HYPERLINK("https://klasma.github.io/Logging_1384/kartor/A 35165-2026 karta.png", "A 35165-2026")</f>
        <v/>
      </c>
      <c r="Y24">
        <f>HYPERLINK("https://klasma.github.io/Logging_1384/kartor_geotiff/A 35165-2026 georefererad karta.tif", "A 35165-2026")</f>
        <v/>
      </c>
      <c r="AA24">
        <f>HYPERLINK("https://klasma.github.io/Logging_1384/klagomål/A 35165-2026 FSC-klagomål.docx", "A 35165-2026")</f>
        <v/>
      </c>
      <c r="AB24">
        <f>HYPERLINK("https://klasma.github.io/Logging_1384/klagomålsmail/A 35165-2026 FSC-klagomål mail.docx", "A 35165-2026")</f>
        <v/>
      </c>
      <c r="AC24">
        <f>HYPERLINK("https://klasma.github.io/Logging_1384/tillsyn/A 35165-2026 tillsynsbegäran.docx", "A 35165-2026")</f>
        <v/>
      </c>
      <c r="AD24">
        <f>HYPERLINK("https://klasma.github.io/Logging_1384/tillsynsmail/A 35165-2026 tillsynsbegäran mail.docx", "A 35165-2026")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46297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9527-2024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46297</v>
      </c>
      <c r="F26" t="inlineStr">
        <is>
          <t>HALLANDS LÄN</t>
        </is>
      </c>
      <c r="G26" t="inlineStr">
        <is>
          <t>KUNGSBACKA</t>
        </is>
      </c>
      <c r="H26" t="inlineStr">
        <is>
          <t>Kyrkan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Backsvala</t>
        </is>
      </c>
      <c r="W26">
        <f>HYPERLINK("https://klasma.github.io/Logging_1384/artfynd/A 9527-2024 artfynd.xlsx", "A 9527-2024")</f>
        <v/>
      </c>
      <c r="X26">
        <f>HYPERLINK("https://klasma.github.io/Logging_1384/kartor/A 9527-2024 karta.png", "A 9527-2024")</f>
        <v/>
      </c>
      <c r="Y26">
        <f>HYPERLINK("https://klasma.github.io/Logging_1384/kartor_geotiff/A 9527-2024 georefererad karta.tif", "A 9527-2024")</f>
        <v/>
      </c>
      <c r="AA26">
        <f>HYPERLINK("https://klasma.github.io/Logging_1384/klagomål/A 9527-2024 FSC-klagomål.docx", "A 9527-2024")</f>
        <v/>
      </c>
      <c r="AB26">
        <f>HYPERLINK("https://klasma.github.io/Logging_1384/klagomålsmail/A 9527-2024 FSC-klagomål mail.docx", "A 9527-2024")</f>
        <v/>
      </c>
      <c r="AC26">
        <f>HYPERLINK("https://klasma.github.io/Logging_1384/tillsyn/A 9527-2024 tillsynsbegäran.docx", "A 9527-2024")</f>
        <v/>
      </c>
      <c r="AD26">
        <f>HYPERLINK("https://klasma.github.io/Logging_1384/tillsynsmail/A 9527-2024 tillsynsbegäran mail.docx", "A 9527-2024")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46297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46297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46297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46297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46297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46297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46297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46297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46297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46297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46297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46297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46297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46297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46297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46297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46297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46297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46297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10949-2024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45370</v>
      </c>
      <c r="E46" s="1" t="n">
        <v>46297</v>
      </c>
      <c r="F46" t="inlineStr">
        <is>
          <t>HALLANDS LÄN</t>
        </is>
      </c>
      <c r="G46" t="inlineStr">
        <is>
          <t>KUNGSBACKA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46297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46297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23579-2025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46297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44925</v>
      </c>
      <c r="E50" s="1" t="n">
        <v>46297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46297</v>
      </c>
      <c r="F51" t="inlineStr">
        <is>
          <t>HALLANDS LÄN</t>
        </is>
      </c>
      <c r="G51" t="inlineStr">
        <is>
          <t>KUNGSBACKA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46297</v>
      </c>
      <c r="F52" t="inlineStr">
        <is>
          <t>HALLANDS LÄN</t>
        </is>
      </c>
      <c r="G52" t="inlineStr">
        <is>
          <t>KUNGSBACKA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46297</v>
      </c>
      <c r="F53" t="inlineStr">
        <is>
          <t>HALLANDS LÄN</t>
        </is>
      </c>
      <c r="G53" t="inlineStr">
        <is>
          <t>KUNGSBACKA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46031</v>
      </c>
      <c r="E54" s="1" t="n">
        <v>46297</v>
      </c>
      <c r="F54" t="inlineStr">
        <is>
          <t>HALLANDS LÄN</t>
        </is>
      </c>
      <c r="G54" t="inlineStr">
        <is>
          <t>KUNGSBACKA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46297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46297</v>
      </c>
      <c r="F56" t="inlineStr">
        <is>
          <t>HALLANDS LÄN</t>
        </is>
      </c>
      <c r="G56" t="inlineStr">
        <is>
          <t>KUNGSBACKA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46297</v>
      </c>
      <c r="F57" t="inlineStr">
        <is>
          <t>HALLANDS LÄN</t>
        </is>
      </c>
      <c r="G57" t="inlineStr">
        <is>
          <t>KUNGSBACKA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45638</v>
      </c>
      <c r="E58" s="1" t="n">
        <v>46297</v>
      </c>
      <c r="F58" t="inlineStr">
        <is>
          <t>HALLANDS LÄN</t>
        </is>
      </c>
      <c r="G58" t="inlineStr">
        <is>
          <t>KUNGSBACKA</t>
        </is>
      </c>
      <c r="I58" t="n">
        <v>19.2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45888</v>
      </c>
      <c r="E59" s="1" t="n">
        <v>46297</v>
      </c>
      <c r="F59" t="inlineStr">
        <is>
          <t>HALLANDS LÄN</t>
        </is>
      </c>
      <c r="G59" t="inlineStr">
        <is>
          <t>KUNGSBACKA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46297</v>
      </c>
      <c r="F60" t="inlineStr">
        <is>
          <t>HALLANDS LÄN</t>
        </is>
      </c>
      <c r="G60" t="inlineStr">
        <is>
          <t>KUNGSBACKA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46297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44942</v>
      </c>
      <c r="E62" s="1" t="n">
        <v>46297</v>
      </c>
      <c r="F62" t="inlineStr">
        <is>
          <t>HALLANDS LÄN</t>
        </is>
      </c>
      <c r="G62" t="inlineStr">
        <is>
          <t>KUNGSBACKA</t>
        </is>
      </c>
      <c r="I62" t="n">
        <v>19.2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46297</v>
      </c>
      <c r="F63" t="inlineStr">
        <is>
          <t>HALLANDS LÄN</t>
        </is>
      </c>
      <c r="G63" t="inlineStr">
        <is>
          <t>KUNGSBACKA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45532</v>
      </c>
      <c r="E64" s="1" t="n">
        <v>46297</v>
      </c>
      <c r="F64" t="inlineStr">
        <is>
          <t>HALLANDS LÄN</t>
        </is>
      </c>
      <c r="G64" t="inlineStr">
        <is>
          <t>KUNGSBACKA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45532</v>
      </c>
      <c r="E65" s="1" t="n">
        <v>46297</v>
      </c>
      <c r="F65" t="inlineStr">
        <is>
          <t>HALLANDS LÄN</t>
        </is>
      </c>
      <c r="G65" t="inlineStr">
        <is>
          <t>KUNGSBACKA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44971</v>
      </c>
      <c r="E66" s="1" t="n">
        <v>46297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46052</v>
      </c>
      <c r="E67" s="1" t="n">
        <v>46297</v>
      </c>
      <c r="F67" t="inlineStr">
        <is>
          <t>HALLANDS LÄN</t>
        </is>
      </c>
      <c r="G67" t="inlineStr">
        <is>
          <t>KUNGSBACKA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46054</v>
      </c>
      <c r="E68" s="1" t="n">
        <v>46297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46054</v>
      </c>
      <c r="E69" s="1" t="n">
        <v>46297</v>
      </c>
      <c r="F69" t="inlineStr">
        <is>
          <t>HALLANDS LÄN</t>
        </is>
      </c>
      <c r="G69" t="inlineStr">
        <is>
          <t>KUNGSBACKA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46054</v>
      </c>
      <c r="E70" s="1" t="n">
        <v>46297</v>
      </c>
      <c r="F70" t="inlineStr">
        <is>
          <t>HALLANDS LÄN</t>
        </is>
      </c>
      <c r="G70" t="inlineStr">
        <is>
          <t>KUNGSBACKA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46297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46297</v>
      </c>
      <c r="F72" t="inlineStr">
        <is>
          <t>HALLANDS LÄN</t>
        </is>
      </c>
      <c r="G72" t="inlineStr">
        <is>
          <t>KUNGSBACKA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8743-2026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46066</v>
      </c>
      <c r="E73" s="1" t="n">
        <v>46297</v>
      </c>
      <c r="F73" t="inlineStr">
        <is>
          <t>HALLANDS LÄN</t>
        </is>
      </c>
      <c r="G73" t="inlineStr">
        <is>
          <t>KUNGSBACKA</t>
        </is>
      </c>
      <c r="H73" t="inlineStr">
        <is>
          <t>Kommuner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25269-2025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46297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46297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46297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46297</v>
      </c>
      <c r="F77" t="inlineStr">
        <is>
          <t>HALLANDS LÄN</t>
        </is>
      </c>
      <c r="G77" t="inlineStr">
        <is>
          <t>KUNGSBACKA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46297</v>
      </c>
      <c r="F78" t="inlineStr">
        <is>
          <t>HALLANDS LÄN</t>
        </is>
      </c>
      <c r="G78" t="inlineStr">
        <is>
          <t>KUNGSBACKA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46297</v>
      </c>
      <c r="F79" t="inlineStr">
        <is>
          <t>HALLANDS LÄN</t>
        </is>
      </c>
      <c r="G79" t="inlineStr">
        <is>
          <t>KUNGSBACKA</t>
        </is>
      </c>
      <c r="I79" t="n">
        <v>18.8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46297</v>
      </c>
      <c r="F80" t="inlineStr">
        <is>
          <t>HALLANDS LÄN</t>
        </is>
      </c>
      <c r="G80" t="inlineStr">
        <is>
          <t>KUNGSBACKA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46297</v>
      </c>
      <c r="F81" t="inlineStr">
        <is>
          <t>HALLANDS LÄN</t>
        </is>
      </c>
      <c r="G81" t="inlineStr">
        <is>
          <t>KUNGSBACKA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46297</v>
      </c>
      <c r="F82" t="inlineStr">
        <is>
          <t>HALLANDS LÄN</t>
        </is>
      </c>
      <c r="G82" t="inlineStr">
        <is>
          <t>KUNGSBACKA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10753-2026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46297</v>
      </c>
      <c r="F83" t="inlineStr">
        <is>
          <t>HALLANDS LÄN</t>
        </is>
      </c>
      <c r="G83" t="inlineStr">
        <is>
          <t>KUNGSBACKA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46297</v>
      </c>
      <c r="F84" t="inlineStr">
        <is>
          <t>HALLANDS LÄN</t>
        </is>
      </c>
      <c r="G84" t="inlineStr">
        <is>
          <t>KUNGSBACKA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44925</v>
      </c>
      <c r="E85" s="1" t="n">
        <v>46297</v>
      </c>
      <c r="F85" t="inlineStr">
        <is>
          <t>HALLANDS LÄN</t>
        </is>
      </c>
      <c r="G85" t="inlineStr">
        <is>
          <t>KUNGSBACKA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46297</v>
      </c>
      <c r="F86" t="inlineStr">
        <is>
          <t>HALLANDS LÄN</t>
        </is>
      </c>
      <c r="G86" t="inlineStr">
        <is>
          <t>KUNGSBACKA</t>
        </is>
      </c>
      <c r="H86" t="inlineStr">
        <is>
          <t>Kyrkan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46297</v>
      </c>
      <c r="F87" t="inlineStr">
        <is>
          <t>HALLANDS LÄN</t>
        </is>
      </c>
      <c r="G87" t="inlineStr">
        <is>
          <t>KUNGSBACKA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46297</v>
      </c>
      <c r="F88" t="inlineStr">
        <is>
          <t>HALLANDS LÄN</t>
        </is>
      </c>
      <c r="G88" t="inlineStr">
        <is>
          <t>KUNGSBACKA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46297</v>
      </c>
      <c r="F89" t="inlineStr">
        <is>
          <t>HALLANDS LÄN</t>
        </is>
      </c>
      <c r="G89" t="inlineStr">
        <is>
          <t>KUNGSBACKA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46297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46297</v>
      </c>
      <c r="F91" t="inlineStr">
        <is>
          <t>HALLANDS LÄN</t>
        </is>
      </c>
      <c r="G91" t="inlineStr">
        <is>
          <t>KUNGSBACKA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46297</v>
      </c>
      <c r="F92" t="inlineStr">
        <is>
          <t>HALLANDS LÄN</t>
        </is>
      </c>
      <c r="G92" t="inlineStr">
        <is>
          <t>KUNGSBACKA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46297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46297</v>
      </c>
      <c r="F94" t="inlineStr">
        <is>
          <t>HALLANDS LÄN</t>
        </is>
      </c>
      <c r="G94" t="inlineStr">
        <is>
          <t>KUNGSBACKA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46297</v>
      </c>
      <c r="F95" t="inlineStr">
        <is>
          <t>HALLANDS LÄN</t>
        </is>
      </c>
      <c r="G95" t="inlineStr">
        <is>
          <t>KUNGSBACKA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45950</v>
      </c>
      <c r="E96" s="1" t="n">
        <v>46297</v>
      </c>
      <c r="F96" t="inlineStr">
        <is>
          <t>HALLANDS LÄN</t>
        </is>
      </c>
      <c r="G96" t="inlineStr">
        <is>
          <t>KUNGSBACKA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46297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46297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46297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53487-2025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46297</v>
      </c>
      <c r="F100" t="inlineStr">
        <is>
          <t>HALLANDS LÄN</t>
        </is>
      </c>
      <c r="G100" t="inlineStr">
        <is>
          <t>KUNGSBACKA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55272-2025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45968</v>
      </c>
      <c r="E101" s="1" t="n">
        <v>46297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46297</v>
      </c>
      <c r="F102" t="inlineStr">
        <is>
          <t>HALLANDS LÄN</t>
        </is>
      </c>
      <c r="G102" t="inlineStr">
        <is>
          <t>KUNGSBACKA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44967</v>
      </c>
      <c r="E103" s="1" t="n">
        <v>46297</v>
      </c>
      <c r="F103" t="inlineStr">
        <is>
          <t>HALLANDS LÄN</t>
        </is>
      </c>
      <c r="G103" t="inlineStr">
        <is>
          <t>KUNGSBACKA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46297</v>
      </c>
      <c r="F104" t="inlineStr">
        <is>
          <t>HALLANDS LÄN</t>
        </is>
      </c>
      <c r="G104" t="inlineStr">
        <is>
          <t>KUNGSBACKA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18077-2026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46125</v>
      </c>
      <c r="E105" s="1" t="n">
        <v>46297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46297</v>
      </c>
      <c r="F106" t="inlineStr">
        <is>
          <t>HALLANDS LÄN</t>
        </is>
      </c>
      <c r="G106" t="inlineStr">
        <is>
          <t>KUNGSBACKA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44684</v>
      </c>
      <c r="E107" s="1" t="n">
        <v>46297</v>
      </c>
      <c r="F107" t="inlineStr">
        <is>
          <t>HALLANDS LÄN</t>
        </is>
      </c>
      <c r="G107" t="inlineStr">
        <is>
          <t>KUNGSBACKA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45776</v>
      </c>
      <c r="E108" s="1" t="n">
        <v>46297</v>
      </c>
      <c r="F108" t="inlineStr">
        <is>
          <t>HALLANDS LÄN</t>
        </is>
      </c>
      <c r="G108" t="inlineStr">
        <is>
          <t>KUNGSBACKA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46297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46297</v>
      </c>
      <c r="F110" t="inlineStr">
        <is>
          <t>HALLANDS LÄN</t>
        </is>
      </c>
      <c r="G110" t="inlineStr">
        <is>
          <t>KUNGSBACKA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45461</v>
      </c>
      <c r="E111" s="1" t="n">
        <v>46297</v>
      </c>
      <c r="F111" t="inlineStr">
        <is>
          <t>HALLANDS LÄN</t>
        </is>
      </c>
      <c r="G111" t="inlineStr">
        <is>
          <t>KUNGSBACKA</t>
        </is>
      </c>
      <c r="H111" t="inlineStr">
        <is>
          <t>Kommuner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28383-2025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46297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46297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46297</v>
      </c>
      <c r="F114" t="inlineStr">
        <is>
          <t>HALLANDS LÄN</t>
        </is>
      </c>
      <c r="G114" t="inlineStr">
        <is>
          <t>KUNGSBACKA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46297</v>
      </c>
      <c r="F115" t="inlineStr">
        <is>
          <t>HALLANDS LÄN</t>
        </is>
      </c>
      <c r="G115" t="inlineStr">
        <is>
          <t>KUNGSBACKA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46297</v>
      </c>
      <c r="F116" t="inlineStr">
        <is>
          <t>HALLANDS LÄN</t>
        </is>
      </c>
      <c r="G116" t="inlineStr">
        <is>
          <t>KUNGSBACKA</t>
        </is>
      </c>
      <c r="H116" t="inlineStr">
        <is>
          <t>Kyrkan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46297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46297</v>
      </c>
      <c r="F118" t="inlineStr">
        <is>
          <t>HALLANDS LÄN</t>
        </is>
      </c>
      <c r="G118" t="inlineStr">
        <is>
          <t>KUNGSBACKA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46297</v>
      </c>
      <c r="F119" t="inlineStr">
        <is>
          <t>HALLANDS LÄN</t>
        </is>
      </c>
      <c r="G119" t="inlineStr">
        <is>
          <t>KUNGSBACKA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46297</v>
      </c>
      <c r="F120" t="inlineStr">
        <is>
          <t>HALLANDS LÄN</t>
        </is>
      </c>
      <c r="G120" t="inlineStr">
        <is>
          <t>KUNGSBACKA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46297</v>
      </c>
      <c r="F121" t="inlineStr">
        <is>
          <t>HALLANDS LÄN</t>
        </is>
      </c>
      <c r="G121" t="inlineStr">
        <is>
          <t>KUNGSBACKA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46297</v>
      </c>
      <c r="F122" t="inlineStr">
        <is>
          <t>HALLANDS LÄN</t>
        </is>
      </c>
      <c r="G122" t="inlineStr">
        <is>
          <t>KUNGSBACKA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45801</v>
      </c>
      <c r="E123" s="1" t="n">
        <v>46297</v>
      </c>
      <c r="F123" t="inlineStr">
        <is>
          <t>HALLANDS LÄN</t>
        </is>
      </c>
      <c r="G123" t="inlineStr">
        <is>
          <t>KUNGSBACKA</t>
        </is>
      </c>
      <c r="I123" t="n">
        <v>8.9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45698</v>
      </c>
      <c r="E124" s="1" t="n">
        <v>46297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46297</v>
      </c>
      <c r="F125" t="inlineStr">
        <is>
          <t>HALLANDS LÄN</t>
        </is>
      </c>
      <c r="G125" t="inlineStr">
        <is>
          <t>KUNGSBACKA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46297</v>
      </c>
      <c r="F126" t="inlineStr">
        <is>
          <t>HALLANDS LÄN</t>
        </is>
      </c>
      <c r="G126" t="inlineStr">
        <is>
          <t>KUNGSBACKA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46297</v>
      </c>
      <c r="F127" t="inlineStr">
        <is>
          <t>HALLANDS LÄN</t>
        </is>
      </c>
      <c r="G127" t="inlineStr">
        <is>
          <t>KUNGSBACKA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46297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46297</v>
      </c>
      <c r="F129" t="inlineStr">
        <is>
          <t>HALLANDS LÄN</t>
        </is>
      </c>
      <c r="G129" t="inlineStr">
        <is>
          <t>KUNGSBACKA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46297</v>
      </c>
      <c r="F130" t="inlineStr">
        <is>
          <t>HALLANDS LÄN</t>
        </is>
      </c>
      <c r="G130" t="inlineStr">
        <is>
          <t>KUNGSBACKA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46297</v>
      </c>
      <c r="F131" t="inlineStr">
        <is>
          <t>HALLANDS LÄN</t>
        </is>
      </c>
      <c r="G131" t="inlineStr">
        <is>
          <t>KUNGSBACKA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45728</v>
      </c>
      <c r="E132" s="1" t="n">
        <v>46297</v>
      </c>
      <c r="F132" t="inlineStr">
        <is>
          <t>HALLANDS LÄN</t>
        </is>
      </c>
      <c r="G132" t="inlineStr">
        <is>
          <t>KUNGSBACKA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46297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46297</v>
      </c>
      <c r="F134" t="inlineStr">
        <is>
          <t>HALLANDS LÄN</t>
        </is>
      </c>
      <c r="G134" t="inlineStr">
        <is>
          <t>KUNGSBACKA</t>
        </is>
      </c>
      <c r="H134" t="inlineStr">
        <is>
          <t>Övriga Aktiebolag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45867</v>
      </c>
      <c r="E135" s="1" t="n">
        <v>46297</v>
      </c>
      <c r="F135" t="inlineStr">
        <is>
          <t>HALLANDS LÄN</t>
        </is>
      </c>
      <c r="G135" t="inlineStr">
        <is>
          <t>KUNGSBACKA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46297</v>
      </c>
      <c r="F136" t="inlineStr">
        <is>
          <t>HALLANDS LÄN</t>
        </is>
      </c>
      <c r="G136" t="inlineStr">
        <is>
          <t>KUNGSBACKA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46297</v>
      </c>
      <c r="F137" t="inlineStr">
        <is>
          <t>HALLANDS LÄN</t>
        </is>
      </c>
      <c r="G137" t="inlineStr">
        <is>
          <t>KUNGSBACKA</t>
        </is>
      </c>
      <c r="H137" t="inlineStr">
        <is>
          <t>Övriga Aktiebolag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46297</v>
      </c>
      <c r="F138" t="inlineStr">
        <is>
          <t>HALLANDS LÄN</t>
        </is>
      </c>
      <c r="G138" t="inlineStr">
        <is>
          <t>KUNGSBACKA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34086-2025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46297</v>
      </c>
      <c r="F139" t="inlineStr">
        <is>
          <t>HALLANDS LÄN</t>
        </is>
      </c>
      <c r="G139" t="inlineStr">
        <is>
          <t>KUNGSBACKA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46297</v>
      </c>
      <c r="F140" t="inlineStr">
        <is>
          <t>HALLANDS LÄN</t>
        </is>
      </c>
      <c r="G140" t="inlineStr">
        <is>
          <t>KUNGSBACKA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46297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45848</v>
      </c>
      <c r="E142" s="1" t="n">
        <v>46297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34975-2025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45849</v>
      </c>
      <c r="E143" s="1" t="n">
        <v>46297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9965-2025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45719</v>
      </c>
      <c r="E144" s="1" t="n">
        <v>46297</v>
      </c>
      <c r="F144" t="inlineStr">
        <is>
          <t>HALLANDS LÄN</t>
        </is>
      </c>
      <c r="G144" t="inlineStr">
        <is>
          <t>KUNGSBACKA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9976-2025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45719</v>
      </c>
      <c r="E145" s="1" t="n">
        <v>46297</v>
      </c>
      <c r="F145" t="inlineStr">
        <is>
          <t>HALLANDS LÄN</t>
        </is>
      </c>
      <c r="G145" t="inlineStr">
        <is>
          <t>KUNGSBACKA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45855</v>
      </c>
      <c r="E146" s="1" t="n">
        <v>46297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45861</v>
      </c>
      <c r="E147" s="1" t="n">
        <v>46297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46297</v>
      </c>
      <c r="F148" t="inlineStr">
        <is>
          <t>HALLANDS LÄN</t>
        </is>
      </c>
      <c r="G148" t="inlineStr">
        <is>
          <t>KUNGSBACKA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46297</v>
      </c>
      <c r="F149" t="inlineStr">
        <is>
          <t>HALLANDS LÄN</t>
        </is>
      </c>
      <c r="G149" t="inlineStr">
        <is>
          <t>KUNGSBACKA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45478</v>
      </c>
      <c r="E150" s="1" t="n">
        <v>46297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46297</v>
      </c>
      <c r="F151" t="inlineStr">
        <is>
          <t>HALLANDS LÄN</t>
        </is>
      </c>
      <c r="G151" t="inlineStr">
        <is>
          <t>KUNGSBACKA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46297</v>
      </c>
      <c r="F152" t="inlineStr">
        <is>
          <t>HALLANDS LÄN</t>
        </is>
      </c>
      <c r="G152" t="inlineStr">
        <is>
          <t>KUNGSBACKA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46297</v>
      </c>
      <c r="F153" t="inlineStr">
        <is>
          <t>HALLANDS LÄN</t>
        </is>
      </c>
      <c r="G153" t="inlineStr">
        <is>
          <t>KUNGSBACKA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46297</v>
      </c>
      <c r="F154" t="inlineStr">
        <is>
          <t>HALLANDS LÄN</t>
        </is>
      </c>
      <c r="G154" t="inlineStr">
        <is>
          <t>KUNGSBACKA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46297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45337</v>
      </c>
      <c r="E156" s="1" t="n">
        <v>46297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46297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34315-2024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46297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45524</v>
      </c>
      <c r="E159" s="1" t="n">
        <v>46297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46297</v>
      </c>
      <c r="F160" t="inlineStr">
        <is>
          <t>HALLANDS LÄN</t>
        </is>
      </c>
      <c r="G160" t="inlineStr">
        <is>
          <t>KUNGSBACKA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46297</v>
      </c>
      <c r="F161" t="inlineStr">
        <is>
          <t>HALLANDS LÄN</t>
        </is>
      </c>
      <c r="G161" t="inlineStr">
        <is>
          <t>KUNGSBACKA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21279-2024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46297</v>
      </c>
      <c r="F162" t="inlineStr">
        <is>
          <t>HALLANDS LÄN</t>
        </is>
      </c>
      <c r="G162" t="inlineStr">
        <is>
          <t>KUNGSBACKA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46297</v>
      </c>
      <c r="F163" t="inlineStr">
        <is>
          <t>HALLANDS LÄN</t>
        </is>
      </c>
      <c r="G163" t="inlineStr">
        <is>
          <t>KUNGSBACKA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46297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46297</v>
      </c>
      <c r="F165" t="inlineStr">
        <is>
          <t>HALLANDS LÄN</t>
        </is>
      </c>
      <c r="G165" t="inlineStr">
        <is>
          <t>KUNGSBACKA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45118</v>
      </c>
      <c r="E166" s="1" t="n">
        <v>46297</v>
      </c>
      <c r="F166" t="inlineStr">
        <is>
          <t>HALLANDS LÄN</t>
        </is>
      </c>
      <c r="G166" t="inlineStr">
        <is>
          <t>KUNGSBACKA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46297</v>
      </c>
      <c r="F167" t="inlineStr">
        <is>
          <t>HALLANDS LÄN</t>
        </is>
      </c>
      <c r="G167" t="inlineStr">
        <is>
          <t>KUNGSBACKA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46297</v>
      </c>
      <c r="F168" t="inlineStr">
        <is>
          <t>HALLANDS LÄN</t>
        </is>
      </c>
      <c r="G168" t="inlineStr">
        <is>
          <t>KUNGSBACKA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46297</v>
      </c>
      <c r="F169" t="inlineStr">
        <is>
          <t>HALLANDS LÄN</t>
        </is>
      </c>
      <c r="G169" t="inlineStr">
        <is>
          <t>KUNGSBACKA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46297</v>
      </c>
      <c r="F170" t="inlineStr">
        <is>
          <t>HALLANDS LÄN</t>
        </is>
      </c>
      <c r="G170" t="inlineStr">
        <is>
          <t>KUNGSBACKA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46297</v>
      </c>
      <c r="F171" t="inlineStr">
        <is>
          <t>HALLANDS LÄN</t>
        </is>
      </c>
      <c r="G171" t="inlineStr">
        <is>
          <t>KUNGSBACKA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46297</v>
      </c>
      <c r="F172" t="inlineStr">
        <is>
          <t>HALLANDS LÄN</t>
        </is>
      </c>
      <c r="G172" t="inlineStr">
        <is>
          <t>KUNGSBACKA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46297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45639</v>
      </c>
      <c r="E174" s="1" t="n">
        <v>46297</v>
      </c>
      <c r="F174" t="inlineStr">
        <is>
          <t>HALLANDS LÄN</t>
        </is>
      </c>
      <c r="G174" t="inlineStr">
        <is>
          <t>KUNGSBACKA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46297</v>
      </c>
      <c r="F175" t="inlineStr">
        <is>
          <t>HALLANDS LÄN</t>
        </is>
      </c>
      <c r="G175" t="inlineStr">
        <is>
          <t>KUNGSBACKA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46297</v>
      </c>
      <c r="F176" t="inlineStr">
        <is>
          <t>HALLANDS LÄN</t>
        </is>
      </c>
      <c r="G176" t="inlineStr">
        <is>
          <t>KUNGSBACKA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45062</v>
      </c>
      <c r="E177" s="1" t="n">
        <v>46297</v>
      </c>
      <c r="F177" t="inlineStr">
        <is>
          <t>HALLANDS LÄN</t>
        </is>
      </c>
      <c r="G177" t="inlineStr">
        <is>
          <t>KUNGSBACKA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46297</v>
      </c>
      <c r="F178" t="inlineStr">
        <is>
          <t>HALLANDS LÄN</t>
        </is>
      </c>
      <c r="G178" t="inlineStr">
        <is>
          <t>KUNGSBACKA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46297</v>
      </c>
      <c r="F179" t="inlineStr">
        <is>
          <t>HALLANDS LÄN</t>
        </is>
      </c>
      <c r="G179" t="inlineStr">
        <is>
          <t>KUNGSBACKA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46297</v>
      </c>
      <c r="F180" t="inlineStr">
        <is>
          <t>HALLANDS LÄN</t>
        </is>
      </c>
      <c r="G180" t="inlineStr">
        <is>
          <t>KUNGSBACKA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62664-2022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44925</v>
      </c>
      <c r="E181" s="1" t="n">
        <v>46297</v>
      </c>
      <c r="F181" t="inlineStr">
        <is>
          <t>HALLANDS LÄN</t>
        </is>
      </c>
      <c r="G181" t="inlineStr">
        <is>
          <t>KUNGSBACKA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46297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46297</v>
      </c>
      <c r="F183" t="inlineStr">
        <is>
          <t>HALLANDS LÄN</t>
        </is>
      </c>
      <c r="G183" t="inlineStr">
        <is>
          <t>KUNGSBACKA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45875</v>
      </c>
      <c r="E184" s="1" t="n">
        <v>46297</v>
      </c>
      <c r="F184" t="inlineStr">
        <is>
          <t>HALLANDS LÄN</t>
        </is>
      </c>
      <c r="G184" t="inlineStr">
        <is>
          <t>KUNGSBACKA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46297</v>
      </c>
      <c r="F185" t="inlineStr">
        <is>
          <t>HALLANDS LÄN</t>
        </is>
      </c>
      <c r="G185" t="inlineStr">
        <is>
          <t>KUNGSBACKA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46297</v>
      </c>
      <c r="F186" t="inlineStr">
        <is>
          <t>HALLANDS LÄN</t>
        </is>
      </c>
      <c r="G186" t="inlineStr">
        <is>
          <t>KUNGSBACKA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46297</v>
      </c>
      <c r="F187" t="inlineStr">
        <is>
          <t>HALLANDS LÄN</t>
        </is>
      </c>
      <c r="G187" t="inlineStr">
        <is>
          <t>KUNGSBACKA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16075-2025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45749</v>
      </c>
      <c r="E188" s="1" t="n">
        <v>46297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45461</v>
      </c>
      <c r="E189" s="1" t="n">
        <v>46297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46297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46297</v>
      </c>
      <c r="F191" t="inlineStr">
        <is>
          <t>HALLANDS LÄN</t>
        </is>
      </c>
      <c r="G191" t="inlineStr">
        <is>
          <t>KUNGSBACKA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46297</v>
      </c>
      <c r="F192" t="inlineStr">
        <is>
          <t>HALLANDS LÄN</t>
        </is>
      </c>
      <c r="G192" t="inlineStr">
        <is>
          <t>KUNGSBACKA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46297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46297</v>
      </c>
      <c r="F194" t="inlineStr">
        <is>
          <t>HALLANDS LÄN</t>
        </is>
      </c>
      <c r="G194" t="inlineStr">
        <is>
          <t>KUNGSBACKA</t>
        </is>
      </c>
      <c r="I194" t="n">
        <v>15.2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45656</v>
      </c>
      <c r="E195" s="1" t="n">
        <v>46297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45656</v>
      </c>
      <c r="E196" s="1" t="n">
        <v>46297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46297</v>
      </c>
      <c r="F197" t="inlineStr">
        <is>
          <t>HALLANDS LÄN</t>
        </is>
      </c>
      <c r="G197" t="inlineStr">
        <is>
          <t>KUNGSBACKA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17293-2025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45756</v>
      </c>
      <c r="E198" s="1" t="n">
        <v>46297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45755</v>
      </c>
      <c r="E199" s="1" t="n">
        <v>46297</v>
      </c>
      <c r="F199" t="inlineStr">
        <is>
          <t>HALLANDS LÄN</t>
        </is>
      </c>
      <c r="G199" t="inlineStr">
        <is>
          <t>KUNGSBACKA</t>
        </is>
      </c>
      <c r="H199" t="inlineStr">
        <is>
          <t>Övriga Aktiebolag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45653</v>
      </c>
      <c r="E200" s="1" t="n">
        <v>46297</v>
      </c>
      <c r="F200" t="inlineStr">
        <is>
          <t>HALLANDS LÄN</t>
        </is>
      </c>
      <c r="G200" t="inlineStr">
        <is>
          <t>KUNGSBACKA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44674-2025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45917</v>
      </c>
      <c r="E201" s="1" t="n">
        <v>46297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14487-2025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46297</v>
      </c>
      <c r="F202" t="inlineStr">
        <is>
          <t>HALLANDS LÄN</t>
        </is>
      </c>
      <c r="G202" t="inlineStr">
        <is>
          <t>KUNGSBACKA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44831</v>
      </c>
      <c r="E203" s="1" t="n">
        <v>46297</v>
      </c>
      <c r="F203" t="inlineStr">
        <is>
          <t>HALLANDS LÄN</t>
        </is>
      </c>
      <c r="G203" t="inlineStr">
        <is>
          <t>KUNGSBACKA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44997</v>
      </c>
      <c r="E204" s="1" t="n">
        <v>46297</v>
      </c>
      <c r="F204" t="inlineStr">
        <is>
          <t>HALLANDS LÄN</t>
        </is>
      </c>
      <c r="G204" t="inlineStr">
        <is>
          <t>KUNGSBACKA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46297</v>
      </c>
      <c r="F205" t="inlineStr">
        <is>
          <t>HALLANDS LÄN</t>
        </is>
      </c>
      <c r="G205" t="inlineStr">
        <is>
          <t>KUNGSBACKA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45881</v>
      </c>
      <c r="E206" s="1" t="n">
        <v>46297</v>
      </c>
      <c r="F206" t="inlineStr">
        <is>
          <t>HALLANDS LÄN</t>
        </is>
      </c>
      <c r="G206" t="inlineStr">
        <is>
          <t>KUNGSBACKA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14898-2023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45014</v>
      </c>
      <c r="E207" s="1" t="n">
        <v>46297</v>
      </c>
      <c r="F207" t="inlineStr">
        <is>
          <t>HALLANDS LÄN</t>
        </is>
      </c>
      <c r="G207" t="inlineStr">
        <is>
          <t>KUNGSBACKA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46297</v>
      </c>
      <c r="F208" t="inlineStr">
        <is>
          <t>HALLANDS LÄN</t>
        </is>
      </c>
      <c r="G208" t="inlineStr">
        <is>
          <t>KUNGSBACKA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45596</v>
      </c>
      <c r="E209" s="1" t="n">
        <v>46297</v>
      </c>
      <c r="F209" t="inlineStr">
        <is>
          <t>HALLANDS LÄN</t>
        </is>
      </c>
      <c r="G209" t="inlineStr">
        <is>
          <t>KUNGSBACKA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45400</v>
      </c>
      <c r="E210" s="1" t="n">
        <v>46297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46176</v>
      </c>
      <c r="E211" s="1" t="n">
        <v>46297</v>
      </c>
      <c r="F211" t="inlineStr">
        <is>
          <t>HALLANDS LÄN</t>
        </is>
      </c>
      <c r="G211" t="inlineStr">
        <is>
          <t>KUNGSBACKA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46297</v>
      </c>
      <c r="F212" t="inlineStr">
        <is>
          <t>HALLANDS LÄN</t>
        </is>
      </c>
      <c r="G212" t="inlineStr">
        <is>
          <t>KUNGSBACKA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45275</v>
      </c>
      <c r="E213" s="1" t="n">
        <v>46297</v>
      </c>
      <c r="F213" t="inlineStr">
        <is>
          <t>HALLANDS LÄN</t>
        </is>
      </c>
      <c r="G213" t="inlineStr">
        <is>
          <t>KUNGSBACKA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25351-2026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46176</v>
      </c>
      <c r="E214" s="1" t="n">
        <v>46297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46176</v>
      </c>
      <c r="E215" s="1" t="n">
        <v>46297</v>
      </c>
      <c r="F215" t="inlineStr">
        <is>
          <t>HALLANDS LÄN</t>
        </is>
      </c>
      <c r="G215" t="inlineStr">
        <is>
          <t>KUNGSBACKA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46297</v>
      </c>
      <c r="F216" t="inlineStr">
        <is>
          <t>HALLANDS LÄN</t>
        </is>
      </c>
      <c r="G216" t="inlineStr">
        <is>
          <t>KUNGSBACKA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46297</v>
      </c>
      <c r="F217" t="inlineStr">
        <is>
          <t>HALLANDS LÄN</t>
        </is>
      </c>
      <c r="G217" t="inlineStr">
        <is>
          <t>KUNGSBACKA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44999</v>
      </c>
      <c r="E218" s="1" t="n">
        <v>46297</v>
      </c>
      <c r="F218" t="inlineStr">
        <is>
          <t>HALLANDS LÄN</t>
        </is>
      </c>
      <c r="G218" t="inlineStr">
        <is>
          <t>KUNGSBACKA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45587</v>
      </c>
      <c r="E219" s="1" t="n">
        <v>46297</v>
      </c>
      <c r="F219" t="inlineStr">
        <is>
          <t>HALLANDS LÄN</t>
        </is>
      </c>
      <c r="G219" t="inlineStr">
        <is>
          <t>KUNGSBACKA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46297</v>
      </c>
      <c r="F220" t="inlineStr">
        <is>
          <t>HALLANDS LÄN</t>
        </is>
      </c>
      <c r="G220" t="inlineStr">
        <is>
          <t>KUNGSBACKA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45742</v>
      </c>
      <c r="E221" s="1" t="n">
        <v>46297</v>
      </c>
      <c r="F221" t="inlineStr">
        <is>
          <t>HALLANDS LÄN</t>
        </is>
      </c>
      <c r="G221" t="inlineStr">
        <is>
          <t>KUNGSBACKA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46297</v>
      </c>
      <c r="F222" t="inlineStr">
        <is>
          <t>HALLANDS LÄN</t>
        </is>
      </c>
      <c r="G222" t="inlineStr">
        <is>
          <t>KUNGSBACKA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46297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46297</v>
      </c>
      <c r="F224" t="inlineStr">
        <is>
          <t>HALLANDS LÄN</t>
        </is>
      </c>
      <c r="G224" t="inlineStr">
        <is>
          <t>KUNGSBACKA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46297</v>
      </c>
      <c r="F225" t="inlineStr">
        <is>
          <t>HALLANDS LÄN</t>
        </is>
      </c>
      <c r="G225" t="inlineStr">
        <is>
          <t>KUNGSBACKA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46297</v>
      </c>
      <c r="F226" t="inlineStr">
        <is>
          <t>HALLANDS LÄN</t>
        </is>
      </c>
      <c r="G226" t="inlineStr">
        <is>
          <t>KUNGSBACKA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26733-2026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46184</v>
      </c>
      <c r="E227" s="1" t="n">
        <v>46297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46297</v>
      </c>
      <c r="F228" t="inlineStr">
        <is>
          <t>HALLANDS LÄN</t>
        </is>
      </c>
      <c r="G228" t="inlineStr">
        <is>
          <t>KUNGSBACKA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45659</v>
      </c>
      <c r="E229" s="1" t="n">
        <v>46297</v>
      </c>
      <c r="F229" t="inlineStr">
        <is>
          <t>HALLANDS LÄN</t>
        </is>
      </c>
      <c r="G229" t="inlineStr">
        <is>
          <t>KUNGSBACKA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46297</v>
      </c>
      <c r="F230" t="inlineStr">
        <is>
          <t>HALLANDS LÄN</t>
        </is>
      </c>
      <c r="G230" t="inlineStr">
        <is>
          <t>KUNGSBACKA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46297</v>
      </c>
      <c r="F231" t="inlineStr">
        <is>
          <t>HALLANDS LÄN</t>
        </is>
      </c>
      <c r="G231" t="inlineStr">
        <is>
          <t>KUNGSBACKA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46297</v>
      </c>
      <c r="F232" t="inlineStr">
        <is>
          <t>HALLANDS LÄN</t>
        </is>
      </c>
      <c r="G232" t="inlineStr">
        <is>
          <t>KUNGSBACKA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45366</v>
      </c>
      <c r="E233" s="1" t="n">
        <v>46297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46297</v>
      </c>
      <c r="F234" t="inlineStr">
        <is>
          <t>HALLANDS LÄN</t>
        </is>
      </c>
      <c r="G234" t="inlineStr">
        <is>
          <t>KUNGSBACKA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46297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46197</v>
      </c>
      <c r="E236" s="1" t="n">
        <v>46297</v>
      </c>
      <c r="F236" t="inlineStr">
        <is>
          <t>HALLANDS LÄN</t>
        </is>
      </c>
      <c r="G236" t="inlineStr">
        <is>
          <t>KUNGSBACKA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44789</v>
      </c>
      <c r="E237" s="1" t="n">
        <v>46297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28515-2026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46297</v>
      </c>
      <c r="F238" t="inlineStr">
        <is>
          <t>HALLANDS LÄN</t>
        </is>
      </c>
      <c r="G238" t="inlineStr">
        <is>
          <t>KUNGSBACKA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46297</v>
      </c>
      <c r="F239" t="inlineStr">
        <is>
          <t>HALLANDS LÄN</t>
        </is>
      </c>
      <c r="G239" t="inlineStr">
        <is>
          <t>KUNGSBACKA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44773</v>
      </c>
      <c r="E240" s="1" t="n">
        <v>46297</v>
      </c>
      <c r="F240" t="inlineStr">
        <is>
          <t>HALLANDS LÄN</t>
        </is>
      </c>
      <c r="G240" t="inlineStr">
        <is>
          <t>KUNGSBACKA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46297</v>
      </c>
      <c r="F241" t="inlineStr">
        <is>
          <t>HALLANDS LÄN</t>
        </is>
      </c>
      <c r="G241" t="inlineStr">
        <is>
          <t>KUNGSBACKA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46297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46297</v>
      </c>
      <c r="F243" t="inlineStr">
        <is>
          <t>HALLANDS LÄN</t>
        </is>
      </c>
      <c r="G243" t="inlineStr">
        <is>
          <t>KUNGSBACKA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44726</v>
      </c>
      <c r="E244" s="1" t="n">
        <v>46297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46297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46258</v>
      </c>
      <c r="E246" s="1" t="n">
        <v>46297</v>
      </c>
      <c r="F246" t="inlineStr">
        <is>
          <t>HALLANDS LÄN</t>
        </is>
      </c>
      <c r="G246" t="inlineStr">
        <is>
          <t>KUNGSBACKA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46297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46297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46297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46297</v>
      </c>
      <c r="F250" t="inlineStr">
        <is>
          <t>HALLANDS LÄN</t>
        </is>
      </c>
      <c r="G250" t="inlineStr">
        <is>
          <t>KUNGSBACKA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46260</v>
      </c>
      <c r="E251" s="1" t="n">
        <v>46297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46297</v>
      </c>
      <c r="F252" t="inlineStr">
        <is>
          <t>HALLANDS LÄN</t>
        </is>
      </c>
      <c r="G252" t="inlineStr">
        <is>
          <t>KUNGSBACKA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46297</v>
      </c>
      <c r="F253" t="inlineStr">
        <is>
          <t>HALLANDS LÄN</t>
        </is>
      </c>
      <c r="G253" t="inlineStr">
        <is>
          <t>KUNGSBACKA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46260</v>
      </c>
      <c r="E254" s="1" t="n">
        <v>46297</v>
      </c>
      <c r="F254" t="inlineStr">
        <is>
          <t>HALLANDS LÄN</t>
        </is>
      </c>
      <c r="G254" t="inlineStr">
        <is>
          <t>KUNGSBACKA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46297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45288</v>
      </c>
      <c r="E256" s="1" t="n">
        <v>46297</v>
      </c>
      <c r="F256" t="inlineStr">
        <is>
          <t>HALLANDS LÄN</t>
        </is>
      </c>
      <c r="G256" t="inlineStr">
        <is>
          <t>KUNGSBACKA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44925</v>
      </c>
      <c r="E257" s="1" t="n">
        <v>46297</v>
      </c>
      <c r="F257" t="inlineStr">
        <is>
          <t>HALLANDS LÄN</t>
        </is>
      </c>
      <c r="G257" t="inlineStr">
        <is>
          <t>KUNGSBACKA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46297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46297</v>
      </c>
      <c r="F259" t="inlineStr">
        <is>
          <t>HALLANDS LÄN</t>
        </is>
      </c>
      <c r="G259" t="inlineStr">
        <is>
          <t>KUNGSBACKA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46269</v>
      </c>
      <c r="E260" s="1" t="n">
        <v>46297</v>
      </c>
      <c r="F260" t="inlineStr">
        <is>
          <t>HALLANDS LÄN</t>
        </is>
      </c>
      <c r="G260" t="inlineStr">
        <is>
          <t>KUNGSBACKA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46297</v>
      </c>
      <c r="F261" t="inlineStr">
        <is>
          <t>HALLANDS LÄN</t>
        </is>
      </c>
      <c r="G261" t="inlineStr">
        <is>
          <t>KUNGSBACKA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46297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46297</v>
      </c>
      <c r="F263" t="inlineStr">
        <is>
          <t>HALLANDS LÄN</t>
        </is>
      </c>
      <c r="G263" t="inlineStr">
        <is>
          <t>KUNGSBACKA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45525</v>
      </c>
      <c r="E264" s="1" t="n">
        <v>46297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46297</v>
      </c>
      <c r="F265" t="inlineStr">
        <is>
          <t>HALLANDS LÄN</t>
        </is>
      </c>
      <c r="G265" t="inlineStr">
        <is>
          <t>KUNGSBACKA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44593</v>
      </c>
      <c r="E266" s="1" t="n">
        <v>46297</v>
      </c>
      <c r="F266" t="inlineStr">
        <is>
          <t>HALLANDS LÄN</t>
        </is>
      </c>
      <c r="G266" t="inlineStr">
        <is>
          <t>KUNGSBACKA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46297</v>
      </c>
      <c r="F267" t="inlineStr">
        <is>
          <t>HALLANDS LÄN</t>
        </is>
      </c>
      <c r="G267" t="inlineStr">
        <is>
          <t>KUNGSBACKA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44775</v>
      </c>
      <c r="E268" s="1" t="n">
        <v>46297</v>
      </c>
      <c r="F268" t="inlineStr">
        <is>
          <t>HALLANDS LÄN</t>
        </is>
      </c>
      <c r="G268" t="inlineStr">
        <is>
          <t>KUNGSBACKA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46232</v>
      </c>
      <c r="E269" s="1" t="n">
        <v>46297</v>
      </c>
      <c r="F269" t="inlineStr">
        <is>
          <t>HALLANDS LÄN</t>
        </is>
      </c>
      <c r="G269" t="inlineStr">
        <is>
          <t>KUNGSBACKA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44895</v>
      </c>
      <c r="E270" s="1" t="n">
        <v>46297</v>
      </c>
      <c r="F270" t="inlineStr">
        <is>
          <t>HALLANDS LÄN</t>
        </is>
      </c>
      <c r="G270" t="inlineStr">
        <is>
          <t>KUNGSBACKA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46297</v>
      </c>
      <c r="F271" t="inlineStr">
        <is>
          <t>HALLANDS LÄN</t>
        </is>
      </c>
      <c r="G271" t="inlineStr">
        <is>
          <t>KUNGSBACKA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45359</v>
      </c>
      <c r="E272" s="1" t="n">
        <v>46297</v>
      </c>
      <c r="F272" t="inlineStr">
        <is>
          <t>HALLANDS LÄN</t>
        </is>
      </c>
      <c r="G272" t="inlineStr">
        <is>
          <t>KUNGSBACKA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46297</v>
      </c>
      <c r="F273" t="inlineStr">
        <is>
          <t>HALLANDS LÄN</t>
        </is>
      </c>
      <c r="G273" t="inlineStr">
        <is>
          <t>KUNGSBACKA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46297</v>
      </c>
      <c r="F274" t="inlineStr">
        <is>
          <t>HALLANDS LÄN</t>
        </is>
      </c>
      <c r="G274" t="inlineStr">
        <is>
          <t>KUNGSBACKA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44748</v>
      </c>
      <c r="E275" s="1" t="n">
        <v>46297</v>
      </c>
      <c r="F275" t="inlineStr">
        <is>
          <t>HALLANDS LÄN</t>
        </is>
      </c>
      <c r="G275" t="inlineStr">
        <is>
          <t>KUNGSBACKA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44869</v>
      </c>
      <c r="E276" s="1" t="n">
        <v>46297</v>
      </c>
      <c r="F276" t="inlineStr">
        <is>
          <t>HALLANDS LÄN</t>
        </is>
      </c>
      <c r="G276" t="inlineStr">
        <is>
          <t>KUNGSBACKA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45131</v>
      </c>
      <c r="E277" s="1" t="n">
        <v>46297</v>
      </c>
      <c r="F277" t="inlineStr">
        <is>
          <t>HALLANDS LÄN</t>
        </is>
      </c>
      <c r="G277" t="inlineStr">
        <is>
          <t>KUNGSBACKA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45131</v>
      </c>
      <c r="E278" s="1" t="n">
        <v>46297</v>
      </c>
      <c r="F278" t="inlineStr">
        <is>
          <t>HALLANDS LÄN</t>
        </is>
      </c>
      <c r="G278" t="inlineStr">
        <is>
          <t>KUNGSBACKA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17401-2023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46297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46297</v>
      </c>
      <c r="F280" t="inlineStr">
        <is>
          <t>HALLANDS LÄN</t>
        </is>
      </c>
      <c r="G280" t="inlineStr">
        <is>
          <t>KUNGSBACKA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46297</v>
      </c>
      <c r="F281" t="inlineStr">
        <is>
          <t>HALLANDS LÄN</t>
        </is>
      </c>
      <c r="G281" t="inlineStr">
        <is>
          <t>KUNGSBACKA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44543</v>
      </c>
      <c r="E282" s="1" t="n">
        <v>46297</v>
      </c>
      <c r="F282" t="inlineStr">
        <is>
          <t>HALLANDS LÄN</t>
        </is>
      </c>
      <c r="G282" t="inlineStr">
        <is>
          <t>KUNGSBACKA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46297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46297</v>
      </c>
      <c r="F284" t="inlineStr">
        <is>
          <t>HALLANDS LÄN</t>
        </is>
      </c>
      <c r="G284" t="inlineStr">
        <is>
          <t>KUNGSBACKA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46297</v>
      </c>
      <c r="F285" t="inlineStr">
        <is>
          <t>HALLANDS LÄN</t>
        </is>
      </c>
      <c r="G285" t="inlineStr">
        <is>
          <t>KUNGSBACKA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46297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46297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46297</v>
      </c>
      <c r="F288" t="inlineStr">
        <is>
          <t>HALLANDS LÄN</t>
        </is>
      </c>
      <c r="G288" t="inlineStr">
        <is>
          <t>KUNGSBACKA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46297</v>
      </c>
      <c r="F289" t="inlineStr">
        <is>
          <t>HALLANDS LÄN</t>
        </is>
      </c>
      <c r="G289" t="inlineStr">
        <is>
          <t>KUNGSBACKA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46297</v>
      </c>
      <c r="F290" t="inlineStr">
        <is>
          <t>HALLANDS LÄN</t>
        </is>
      </c>
      <c r="G290" t="inlineStr">
        <is>
          <t>KUNGSBACKA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46295</v>
      </c>
      <c r="E291" s="1" t="n">
        <v>46297</v>
      </c>
      <c r="F291" t="inlineStr">
        <is>
          <t>HALLANDS LÄN</t>
        </is>
      </c>
      <c r="G291" t="inlineStr">
        <is>
          <t>KUNGSBACKA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  <c r="Z291">
        <f>HYPERLINK("https://klasma.github.io/Logging_1384/knärot/A 40511-2026 karta knärot.png", "A 40511-2026")</f>
        <v/>
      </c>
      <c r="AA291">
        <f>HYPERLINK("https://klasma.github.io/Logging_1384/klagomål/A 40511-2026 FSC-klagomål.docx", "A 40511-2026")</f>
        <v/>
      </c>
      <c r="AB291">
        <f>HYPERLINK("https://klasma.github.io/Logging_1384/klagomålsmail/A 40511-2026 FSC-klagomål mail.docx", "A 40511-2026")</f>
        <v/>
      </c>
      <c r="AC291">
        <f>HYPERLINK("https://klasma.github.io/Logging_1384/tillsyn/A 40511-2026 tillsynsbegäran.docx", "A 40511-2026")</f>
        <v/>
      </c>
      <c r="AD291">
        <f>HYPERLINK("https://klasma.github.io/Logging_1384/tillsynsmail/A 40511-2026 tillsynsbegäran mail.docx", "A 40511-2026")</f>
        <v/>
      </c>
    </row>
    <row r="292" ht="15" customHeight="1">
      <c r="A292" t="inlineStr">
        <is>
          <t>A 62139-2024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45656</v>
      </c>
      <c r="E292" s="1" t="n">
        <v>46297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46297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46297</v>
      </c>
      <c r="F294" t="inlineStr">
        <is>
          <t>HALLANDS LÄN</t>
        </is>
      </c>
      <c r="G294" t="inlineStr">
        <is>
          <t>KUNGSBACKA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46295</v>
      </c>
      <c r="E295" s="1" t="n">
        <v>46297</v>
      </c>
      <c r="F295" t="inlineStr">
        <is>
          <t>HALLANDS LÄN</t>
        </is>
      </c>
      <c r="G295" t="inlineStr">
        <is>
          <t>KUNGSBACKA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40520-2026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46295</v>
      </c>
      <c r="E296" s="1" t="n">
        <v>46297</v>
      </c>
      <c r="F296" t="inlineStr">
        <is>
          <t>HALLANDS LÄN</t>
        </is>
      </c>
      <c r="G296" t="inlineStr">
        <is>
          <t>KUNGSBACKA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46297</v>
      </c>
      <c r="F297" t="inlineStr">
        <is>
          <t>HALLANDS LÄN</t>
        </is>
      </c>
      <c r="G297" t="inlineStr">
        <is>
          <t>KUNGSBACKA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46295</v>
      </c>
      <c r="E298" s="1" t="n">
        <v>46297</v>
      </c>
      <c r="F298" t="inlineStr">
        <is>
          <t>HALLANDS LÄN</t>
        </is>
      </c>
      <c r="G298" t="inlineStr">
        <is>
          <t>KUNGSBACKA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46295</v>
      </c>
      <c r="E299" s="1" t="n">
        <v>46297</v>
      </c>
      <c r="F299" t="inlineStr">
        <is>
          <t>HALLANDS LÄN</t>
        </is>
      </c>
      <c r="G299" t="inlineStr">
        <is>
          <t>KUNGSBACKA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45208</v>
      </c>
      <c r="E300" s="1" t="n">
        <v>46297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46297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46297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46297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46297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46297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46297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46297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46297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46297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46297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46297</v>
      </c>
      <c r="F311" t="inlineStr">
        <is>
          <t>HALLANDS LÄN</t>
        </is>
      </c>
      <c r="G311" t="inlineStr">
        <is>
          <t>KUNGSBACKA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46297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46297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46297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46297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2026-10-02T02:02:37Z</dcterms:created>
  <dcterms:modified xmlns:dcterms="http://purl.org/dc/terms/" xmlns:xsi="http://www.w3.org/2001/XMLSchema-instance" xsi:type="dcterms:W3CDTF">2026-10-02T02:02:37Z</dcterms:modified>
</cp:coreProperties>
</file>