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45718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45718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45718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45718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45718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45718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45718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45718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4831-2021</t>
        </is>
      </c>
      <c r="B10" s="1" t="n">
        <v>44225</v>
      </c>
      <c r="C10" s="1" t="n">
        <v>45718</v>
      </c>
      <c r="D10" t="inlineStr">
        <is>
          <t>HALLANDS LÄN</t>
        </is>
      </c>
      <c r="E10" t="inlineStr">
        <is>
          <t>KUNGSBACKA</t>
        </is>
      </c>
      <c r="G10" t="n">
        <v>7.4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HYPERLINK("https://klasma.github.io/Logging_1384/artfynd/A 4831-2021 artfynd.xlsx", "A 4831-2021")</f>
        <v/>
      </c>
      <c r="T10">
        <f>HYPERLINK("https://klasma.github.io/Logging_1384/kartor/A 4831-2021 karta.png", "A 4831-2021")</f>
        <v/>
      </c>
      <c r="V10">
        <f>HYPERLINK("https://klasma.github.io/Logging_1384/klagomål/A 4831-2021 FSC-klagomål.docx", "A 4831-2021")</f>
        <v/>
      </c>
      <c r="W10">
        <f>HYPERLINK("https://klasma.github.io/Logging_1384/klagomålsmail/A 4831-2021 FSC-klagomål mail.docx", "A 4831-2021")</f>
        <v/>
      </c>
      <c r="X10">
        <f>HYPERLINK("https://klasma.github.io/Logging_1384/tillsyn/A 4831-2021 tillsynsbegäran.docx", "A 4831-2021")</f>
        <v/>
      </c>
      <c r="Y10">
        <f>HYPERLINK("https://klasma.github.io/Logging_1384/tillsynsmail/A 4831-2021 tillsynsbegäran mail.docx", "A 4831-2021")</f>
        <v/>
      </c>
    </row>
    <row r="11" ht="15" customHeight="1">
      <c r="A11" t="inlineStr">
        <is>
          <t>A 13434-2022</t>
        </is>
      </c>
      <c r="B11" s="1" t="n">
        <v>44645</v>
      </c>
      <c r="C11" s="1" t="n">
        <v>45718</v>
      </c>
      <c r="D11" t="inlineStr">
        <is>
          <t>HALLANDS LÄN</t>
        </is>
      </c>
      <c r="E11" t="inlineStr">
        <is>
          <t>KUNGSBACKA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HYPERLINK("https://klasma.github.io/Logging_1384/artfynd/A 13434-2022 artfynd.xlsx", "A 13434-2022")</f>
        <v/>
      </c>
      <c r="T11">
        <f>HYPERLINK("https://klasma.github.io/Logging_1384/kartor/A 13434-2022 karta.png", "A 13434-2022")</f>
        <v/>
      </c>
      <c r="V11">
        <f>HYPERLINK("https://klasma.github.io/Logging_1384/klagomål/A 13434-2022 FSC-klagomål.docx", "A 13434-2022")</f>
        <v/>
      </c>
      <c r="W11">
        <f>HYPERLINK("https://klasma.github.io/Logging_1384/klagomålsmail/A 13434-2022 FSC-klagomål mail.docx", "A 13434-2022")</f>
        <v/>
      </c>
      <c r="X11">
        <f>HYPERLINK("https://klasma.github.io/Logging_1384/tillsyn/A 13434-2022 tillsynsbegäran.docx", "A 13434-2022")</f>
        <v/>
      </c>
      <c r="Y11">
        <f>HYPERLINK("https://klasma.github.io/Logging_1384/tillsynsmail/A 13434-2022 tillsynsbegäran mail.docx", "A 13434-2022")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45718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9006-2023</t>
        </is>
      </c>
      <c r="B13" s="1" t="n">
        <v>44979</v>
      </c>
      <c r="C13" s="1" t="n">
        <v>45718</v>
      </c>
      <c r="D13" t="inlineStr">
        <is>
          <t>HALLANDS LÄN</t>
        </is>
      </c>
      <c r="E13" t="inlineStr">
        <is>
          <t>KUNGSBACKA</t>
        </is>
      </c>
      <c r="G13" t="n">
        <v>13.5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HYPERLINK("https://klasma.github.io/Logging_1384/artfynd/A 9006-2023 artfynd.xlsx", "A 9006-2023")</f>
        <v/>
      </c>
      <c r="T13">
        <f>HYPERLINK("https://klasma.github.io/Logging_1384/kartor/A 9006-2023 karta.png", "A 9006-2023")</f>
        <v/>
      </c>
      <c r="V13">
        <f>HYPERLINK("https://klasma.github.io/Logging_1384/klagomål/A 9006-2023 FSC-klagomål.docx", "A 9006-2023")</f>
        <v/>
      </c>
      <c r="W13">
        <f>HYPERLINK("https://klasma.github.io/Logging_1384/klagomålsmail/A 9006-2023 FSC-klagomål mail.docx", "A 9006-2023")</f>
        <v/>
      </c>
      <c r="X13">
        <f>HYPERLINK("https://klasma.github.io/Logging_1384/tillsyn/A 9006-2023 tillsynsbegäran.docx", "A 9006-2023")</f>
        <v/>
      </c>
      <c r="Y13">
        <f>HYPERLINK("https://klasma.github.io/Logging_1384/tillsynsmail/A 9006-2023 tillsynsbegäran mail.docx", "A 9006-2023")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45718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2988-2024</t>
        </is>
      </c>
      <c r="B15" s="1" t="n">
        <v>45315</v>
      </c>
      <c r="C15" s="1" t="n">
        <v>45718</v>
      </c>
      <c r="D15" t="inlineStr">
        <is>
          <t>HALLANDS LÄN</t>
        </is>
      </c>
      <c r="E15" t="inlineStr">
        <is>
          <t>KUNGSBACKA</t>
        </is>
      </c>
      <c r="G15" t="n">
        <v>9.1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HYPERLINK("https://klasma.github.io/Logging_1384/artfynd/A 2988-2024 artfynd.xlsx", "A 2988-2024")</f>
        <v/>
      </c>
      <c r="T15">
        <f>HYPERLINK("https://klasma.github.io/Logging_1384/kartor/A 2988-2024 karta.png", "A 2988-2024")</f>
        <v/>
      </c>
      <c r="V15">
        <f>HYPERLINK("https://klasma.github.io/Logging_1384/klagomål/A 2988-2024 FSC-klagomål.docx", "A 2988-2024")</f>
        <v/>
      </c>
      <c r="W15">
        <f>HYPERLINK("https://klasma.github.io/Logging_1384/klagomålsmail/A 2988-2024 FSC-klagomål mail.docx", "A 2988-2024")</f>
        <v/>
      </c>
      <c r="X15">
        <f>HYPERLINK("https://klasma.github.io/Logging_1384/tillsyn/A 2988-2024 tillsynsbegäran.docx", "A 2988-2024")</f>
        <v/>
      </c>
      <c r="Y15">
        <f>HYPERLINK("https://klasma.github.io/Logging_1384/tillsynsmail/A 2988-2024 tillsynsbegäran mail.docx", "A 2988-2024")</f>
        <v/>
      </c>
    </row>
    <row r="16" ht="15" customHeight="1">
      <c r="A16" t="inlineStr">
        <is>
          <t>A 34740-2024</t>
        </is>
      </c>
      <c r="B16" s="1" t="n">
        <v>45526</v>
      </c>
      <c r="C16" s="1" t="n">
        <v>45718</v>
      </c>
      <c r="D16" t="inlineStr">
        <is>
          <t>HALLANDS LÄN</t>
        </is>
      </c>
      <c r="E16" t="inlineStr">
        <is>
          <t>KUNGSBACKA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34740-2024 artfynd.xlsx", "A 34740-2024")</f>
        <v/>
      </c>
      <c r="T16">
        <f>HYPERLINK("https://klasma.github.io/Logging_1384/kartor/A 34740-2024 karta.png", "A 34740-2024")</f>
        <v/>
      </c>
      <c r="V16">
        <f>HYPERLINK("https://klasma.github.io/Logging_1384/klagomål/A 34740-2024 FSC-klagomål.docx", "A 34740-2024")</f>
        <v/>
      </c>
      <c r="W16">
        <f>HYPERLINK("https://klasma.github.io/Logging_1384/klagomålsmail/A 34740-2024 FSC-klagomål mail.docx", "A 34740-2024")</f>
        <v/>
      </c>
      <c r="X16">
        <f>HYPERLINK("https://klasma.github.io/Logging_1384/tillsyn/A 34740-2024 tillsynsbegäran.docx", "A 34740-2024")</f>
        <v/>
      </c>
      <c r="Y16">
        <f>HYPERLINK("https://klasma.github.io/Logging_1384/tillsynsmail/A 34740-2024 tillsynsbegäran mail.docx", "A 34740-2024")</f>
        <v/>
      </c>
    </row>
    <row r="17" ht="15" customHeight="1">
      <c r="A17" t="inlineStr">
        <is>
          <t>A 34772-2024</t>
        </is>
      </c>
      <c r="B17" s="1" t="n">
        <v>45526</v>
      </c>
      <c r="C17" s="1" t="n">
        <v>45718</v>
      </c>
      <c r="D17" t="inlineStr">
        <is>
          <t>HALLANDS LÄN</t>
        </is>
      </c>
      <c r="E17" t="inlineStr">
        <is>
          <t>KUNGSBACKA</t>
        </is>
      </c>
      <c r="G17" t="n">
        <v>13.2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34772-2024 artfynd.xlsx", "A 34772-2024")</f>
        <v/>
      </c>
      <c r="T17">
        <f>HYPERLINK("https://klasma.github.io/Logging_1384/kartor/A 34772-2024 karta.png", "A 34772-2024")</f>
        <v/>
      </c>
      <c r="V17">
        <f>HYPERLINK("https://klasma.github.io/Logging_1384/klagomål/A 34772-2024 FSC-klagomål.docx", "A 34772-2024")</f>
        <v/>
      </c>
      <c r="W17">
        <f>HYPERLINK("https://klasma.github.io/Logging_1384/klagomålsmail/A 34772-2024 FSC-klagomål mail.docx", "A 34772-2024")</f>
        <v/>
      </c>
      <c r="X17">
        <f>HYPERLINK("https://klasma.github.io/Logging_1384/tillsyn/A 34772-2024 tillsynsbegäran.docx", "A 34772-2024")</f>
        <v/>
      </c>
      <c r="Y17">
        <f>HYPERLINK("https://klasma.github.io/Logging_1384/tillsynsmail/A 34772-2024 tillsynsbegäran mail.docx", "A 34772-2024")</f>
        <v/>
      </c>
    </row>
    <row r="18" ht="15" customHeight="1">
      <c r="A18" t="inlineStr">
        <is>
          <t>A 17886-2019</t>
        </is>
      </c>
      <c r="B18" s="1" t="n">
        <v>43557</v>
      </c>
      <c r="C18" s="1" t="n">
        <v>45718</v>
      </c>
      <c r="D18" t="inlineStr">
        <is>
          <t>HALLANDS LÄN</t>
        </is>
      </c>
      <c r="E18" t="inlineStr">
        <is>
          <t>KUNGSBACKA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19013-2019</t>
        </is>
      </c>
      <c r="B19" s="1" t="n">
        <v>43563</v>
      </c>
      <c r="C19" s="1" t="n">
        <v>45718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19331-2019</t>
        </is>
      </c>
      <c r="B20" s="1" t="n">
        <v>43565</v>
      </c>
      <c r="C20" s="1" t="n">
        <v>45718</v>
      </c>
      <c r="D20" t="inlineStr">
        <is>
          <t>HALLANDS LÄN</t>
        </is>
      </c>
      <c r="E20" t="inlineStr">
        <is>
          <t>KUNGSBACKA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21505-2019</t>
        </is>
      </c>
      <c r="B21" s="1" t="n">
        <v>43580</v>
      </c>
      <c r="C21" s="1" t="n">
        <v>45718</v>
      </c>
      <c r="D21" t="inlineStr">
        <is>
          <t>HALLANDS LÄN</t>
        </is>
      </c>
      <c r="E21" t="inlineStr">
        <is>
          <t>KUNGSBACKA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21996-2019</t>
        </is>
      </c>
      <c r="B22" s="1" t="n">
        <v>43584</v>
      </c>
      <c r="C22" s="1" t="n">
        <v>45718</v>
      </c>
      <c r="D22" t="inlineStr">
        <is>
          <t>HALLANDS LÄN</t>
        </is>
      </c>
      <c r="E22" t="inlineStr">
        <is>
          <t>KUNGSBACKA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22474-2019</t>
        </is>
      </c>
      <c r="B23" s="1" t="n">
        <v>43587</v>
      </c>
      <c r="C23" s="1" t="n">
        <v>45718</v>
      </c>
      <c r="D23" t="inlineStr">
        <is>
          <t>HALLANDS LÄN</t>
        </is>
      </c>
      <c r="E23" t="inlineStr">
        <is>
          <t>KUNGSBACKA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23857-2019</t>
        </is>
      </c>
      <c r="B24" s="1" t="n">
        <v>43595</v>
      </c>
      <c r="C24" s="1" t="n">
        <v>45718</v>
      </c>
      <c r="D24" t="inlineStr">
        <is>
          <t>HALLANDS LÄN</t>
        </is>
      </c>
      <c r="E24" t="inlineStr">
        <is>
          <t>KUNGSBACKA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25536-2019</t>
        </is>
      </c>
      <c r="B25" s="1" t="n">
        <v>43606</v>
      </c>
      <c r="C25" s="1" t="n">
        <v>45718</v>
      </c>
      <c r="D25" t="inlineStr">
        <is>
          <t>HALLANDS LÄN</t>
        </is>
      </c>
      <c r="E25" t="inlineStr">
        <is>
          <t>KUNGSBACKA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27467-2019</t>
        </is>
      </c>
      <c r="B26" s="1" t="n">
        <v>43619</v>
      </c>
      <c r="C26" s="1" t="n">
        <v>45718</v>
      </c>
      <c r="D26" t="inlineStr">
        <is>
          <t>HALLANDS LÄN</t>
        </is>
      </c>
      <c r="E26" t="inlineStr">
        <is>
          <t>KUNGSBACKA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28032-2019</t>
        </is>
      </c>
      <c r="B27" s="1" t="n">
        <v>43621</v>
      </c>
      <c r="C27" s="1" t="n">
        <v>45718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28459-2019</t>
        </is>
      </c>
      <c r="B28" s="1" t="n">
        <v>43626</v>
      </c>
      <c r="C28" s="1" t="n">
        <v>45718</v>
      </c>
      <c r="D28" t="inlineStr">
        <is>
          <t>HALLANDS LÄN</t>
        </is>
      </c>
      <c r="E28" t="inlineStr">
        <is>
          <t>KUNGSBACKA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31498-2019</t>
        </is>
      </c>
      <c r="B29" s="1" t="n">
        <v>43641</v>
      </c>
      <c r="C29" s="1" t="n">
        <v>45718</v>
      </c>
      <c r="D29" t="inlineStr">
        <is>
          <t>HALLANDS LÄN</t>
        </is>
      </c>
      <c r="E29" t="inlineStr">
        <is>
          <t>KUNGSBACKA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32059-2019</t>
        </is>
      </c>
      <c r="B30" s="1" t="n">
        <v>43643</v>
      </c>
      <c r="C30" s="1" t="n">
        <v>45718</v>
      </c>
      <c r="D30" t="inlineStr">
        <is>
          <t>HALLANDS LÄN</t>
        </is>
      </c>
      <c r="E30" t="inlineStr">
        <is>
          <t>KUNGSBACKA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32437-2019</t>
        </is>
      </c>
      <c r="B31" s="1" t="n">
        <v>43644</v>
      </c>
      <c r="C31" s="1" t="n">
        <v>45718</v>
      </c>
      <c r="D31" t="inlineStr">
        <is>
          <t>HALLANDS LÄN</t>
        </is>
      </c>
      <c r="E31" t="inlineStr">
        <is>
          <t>KUNGSBACKA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33205-2019</t>
        </is>
      </c>
      <c r="B32" s="1" t="n">
        <v>43649</v>
      </c>
      <c r="C32" s="1" t="n">
        <v>45718</v>
      </c>
      <c r="D32" t="inlineStr">
        <is>
          <t>HALLANDS LÄN</t>
        </is>
      </c>
      <c r="E32" t="inlineStr">
        <is>
          <t>KUNGSBACKA</t>
        </is>
      </c>
      <c r="F32" t="inlineStr">
        <is>
          <t>Kyrkan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35274-2019</t>
        </is>
      </c>
      <c r="B33" s="1" t="n">
        <v>43662</v>
      </c>
      <c r="C33" s="1" t="n">
        <v>45718</v>
      </c>
      <c r="D33" t="inlineStr">
        <is>
          <t>HALLANDS LÄN</t>
        </is>
      </c>
      <c r="E33" t="inlineStr">
        <is>
          <t>KUNGSBACKA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35263-2019</t>
        </is>
      </c>
      <c r="B34" s="1" t="n">
        <v>43662</v>
      </c>
      <c r="C34" s="1" t="n">
        <v>45718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35265-2019</t>
        </is>
      </c>
      <c r="B35" s="1" t="n">
        <v>43662</v>
      </c>
      <c r="C35" s="1" t="n">
        <v>45718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35446-2019</t>
        </is>
      </c>
      <c r="B36" s="1" t="n">
        <v>43663</v>
      </c>
      <c r="C36" s="1" t="n">
        <v>45718</v>
      </c>
      <c r="D36" t="inlineStr">
        <is>
          <t>HALLANDS LÄN</t>
        </is>
      </c>
      <c r="E36" t="inlineStr">
        <is>
          <t>KUNGSBACKA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42233-2019</t>
        </is>
      </c>
      <c r="B37" s="1" t="n">
        <v>43703</v>
      </c>
      <c r="C37" s="1" t="n">
        <v>45718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43453-2019</t>
        </is>
      </c>
      <c r="B38" s="1" t="n">
        <v>43704</v>
      </c>
      <c r="C38" s="1" t="n">
        <v>45718</v>
      </c>
      <c r="D38" t="inlineStr">
        <is>
          <t>HALLANDS LÄN</t>
        </is>
      </c>
      <c r="E38" t="inlineStr">
        <is>
          <t>KUNGSBACKA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43936-2019</t>
        </is>
      </c>
      <c r="B39" s="1" t="n">
        <v>43707</v>
      </c>
      <c r="C39" s="1" t="n">
        <v>45718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51495-2019</t>
        </is>
      </c>
      <c r="B40" s="1" t="n">
        <v>43740</v>
      </c>
      <c r="C40" s="1" t="n">
        <v>45718</v>
      </c>
      <c r="D40" t="inlineStr">
        <is>
          <t>HALLANDS LÄN</t>
        </is>
      </c>
      <c r="E40" t="inlineStr">
        <is>
          <t>KUNGSBACKA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52007-2019</t>
        </is>
      </c>
      <c r="B41" s="1" t="n">
        <v>43742</v>
      </c>
      <c r="C41" s="1" t="n">
        <v>45718</v>
      </c>
      <c r="D41" t="inlineStr">
        <is>
          <t>HALLANDS LÄN</t>
        </is>
      </c>
      <c r="E41" t="inlineStr">
        <is>
          <t>KUNGSBACKA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53288-2019</t>
        </is>
      </c>
      <c r="B42" s="1" t="n">
        <v>43748</v>
      </c>
      <c r="C42" s="1" t="n">
        <v>45718</v>
      </c>
      <c r="D42" t="inlineStr">
        <is>
          <t>HALLANDS LÄN</t>
        </is>
      </c>
      <c r="E42" t="inlineStr">
        <is>
          <t>KUNGSBACKA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54537-2019</t>
        </is>
      </c>
      <c r="B43" s="1" t="n">
        <v>43754</v>
      </c>
      <c r="C43" s="1" t="n">
        <v>45718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54535-2019</t>
        </is>
      </c>
      <c r="B44" s="1" t="n">
        <v>43754</v>
      </c>
      <c r="C44" s="1" t="n">
        <v>45718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54530-2019</t>
        </is>
      </c>
      <c r="B45" s="1" t="n">
        <v>43754</v>
      </c>
      <c r="C45" s="1" t="n">
        <v>45718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54533-2019</t>
        </is>
      </c>
      <c r="B46" s="1" t="n">
        <v>43754</v>
      </c>
      <c r="C46" s="1" t="n">
        <v>45718</v>
      </c>
      <c r="D46" t="inlineStr">
        <is>
          <t>HALLANDS LÄN</t>
        </is>
      </c>
      <c r="E46" t="inlineStr">
        <is>
          <t>KUNGSBACKA</t>
        </is>
      </c>
      <c r="F46" t="inlineStr">
        <is>
          <t>Sveaskog</t>
        </is>
      </c>
      <c r="G46" t="n">
        <v>8.5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6980-2020</t>
        </is>
      </c>
      <c r="B47" s="1" t="n">
        <v>43868</v>
      </c>
      <c r="C47" s="1" t="n">
        <v>45718</v>
      </c>
      <c r="D47" t="inlineStr">
        <is>
          <t>HALLANDS LÄN</t>
        </is>
      </c>
      <c r="E47" t="inlineStr">
        <is>
          <t>KUNGSBACKA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10195-2020</t>
        </is>
      </c>
      <c r="B48" s="1" t="n">
        <v>43885</v>
      </c>
      <c r="C48" s="1" t="n">
        <v>45718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10370-2020</t>
        </is>
      </c>
      <c r="B49" s="1" t="n">
        <v>43885</v>
      </c>
      <c r="C49" s="1" t="n">
        <v>45718</v>
      </c>
      <c r="D49" t="inlineStr">
        <is>
          <t>HALLANDS LÄN</t>
        </is>
      </c>
      <c r="E49" t="inlineStr">
        <is>
          <t>KUNGSBACKA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11459-2020</t>
        </is>
      </c>
      <c r="B50" s="1" t="n">
        <v>43893</v>
      </c>
      <c r="C50" s="1" t="n">
        <v>45718</v>
      </c>
      <c r="D50" t="inlineStr">
        <is>
          <t>HALLANDS LÄN</t>
        </is>
      </c>
      <c r="E50" t="inlineStr">
        <is>
          <t>KUNGSBACKA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13631-2020</t>
        </is>
      </c>
      <c r="B51" s="1" t="n">
        <v>43903</v>
      </c>
      <c r="C51" s="1" t="n">
        <v>45718</v>
      </c>
      <c r="D51" t="inlineStr">
        <is>
          <t>HALLANDS LÄN</t>
        </is>
      </c>
      <c r="E51" t="inlineStr">
        <is>
          <t>KUNGSBACKA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14299-2020</t>
        </is>
      </c>
      <c r="B52" s="1" t="n">
        <v>43907</v>
      </c>
      <c r="C52" s="1" t="n">
        <v>45718</v>
      </c>
      <c r="D52" t="inlineStr">
        <is>
          <t>HALLANDS LÄN</t>
        </is>
      </c>
      <c r="E52" t="inlineStr">
        <is>
          <t>KUNGSBACKA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14296-2020</t>
        </is>
      </c>
      <c r="B53" s="1" t="n">
        <v>43907</v>
      </c>
      <c r="C53" s="1" t="n">
        <v>45718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16250-2020</t>
        </is>
      </c>
      <c r="B54" s="1" t="n">
        <v>43917</v>
      </c>
      <c r="C54" s="1" t="n">
        <v>45718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16902-2020</t>
        </is>
      </c>
      <c r="B55" s="1" t="n">
        <v>43921</v>
      </c>
      <c r="C55" s="1" t="n">
        <v>45718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17258-2020</t>
        </is>
      </c>
      <c r="B56" s="1" t="n">
        <v>43922</v>
      </c>
      <c r="C56" s="1" t="n">
        <v>45718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18328-2020</t>
        </is>
      </c>
      <c r="B57" s="1" t="n">
        <v>43928</v>
      </c>
      <c r="C57" s="1" t="n">
        <v>45718</v>
      </c>
      <c r="D57" t="inlineStr">
        <is>
          <t>HALLANDS LÄN</t>
        </is>
      </c>
      <c r="E57" t="inlineStr">
        <is>
          <t>KUNGSBACKA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18321-2020</t>
        </is>
      </c>
      <c r="B58" s="1" t="n">
        <v>43928</v>
      </c>
      <c r="C58" s="1" t="n">
        <v>45718</v>
      </c>
      <c r="D58" t="inlineStr">
        <is>
          <t>HALLANDS LÄN</t>
        </is>
      </c>
      <c r="E58" t="inlineStr">
        <is>
          <t>KUNGSBACKA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21678-2020</t>
        </is>
      </c>
      <c r="B59" s="1" t="n">
        <v>43957</v>
      </c>
      <c r="C59" s="1" t="n">
        <v>45718</v>
      </c>
      <c r="D59" t="inlineStr">
        <is>
          <t>HALLANDS LÄN</t>
        </is>
      </c>
      <c r="E59" t="inlineStr">
        <is>
          <t>KUNGSBACKA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22014-2020</t>
        </is>
      </c>
      <c r="B60" s="1" t="n">
        <v>43959</v>
      </c>
      <c r="C60" s="1" t="n">
        <v>45718</v>
      </c>
      <c r="D60" t="inlineStr">
        <is>
          <t>HALLANDS LÄN</t>
        </is>
      </c>
      <c r="E60" t="inlineStr">
        <is>
          <t>KUNGSBACKA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23226-2020</t>
        </is>
      </c>
      <c r="B61" s="1" t="n">
        <v>43966</v>
      </c>
      <c r="C61" s="1" t="n">
        <v>45718</v>
      </c>
      <c r="D61" t="inlineStr">
        <is>
          <t>HALLANDS LÄN</t>
        </is>
      </c>
      <c r="E61" t="inlineStr">
        <is>
          <t>KUNGSBACKA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24631-2020</t>
        </is>
      </c>
      <c r="B62" s="1" t="n">
        <v>43977</v>
      </c>
      <c r="C62" s="1" t="n">
        <v>45718</v>
      </c>
      <c r="D62" t="inlineStr">
        <is>
          <t>HALLANDS LÄN</t>
        </is>
      </c>
      <c r="E62" t="inlineStr">
        <is>
          <t>KUNGSBACKA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24634-2020</t>
        </is>
      </c>
      <c r="B63" s="1" t="n">
        <v>43977</v>
      </c>
      <c r="C63" s="1" t="n">
        <v>45718</v>
      </c>
      <c r="D63" t="inlineStr">
        <is>
          <t>HALLANDS LÄN</t>
        </is>
      </c>
      <c r="E63" t="inlineStr">
        <is>
          <t>KUNGSBACKA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25960-2020</t>
        </is>
      </c>
      <c r="B64" s="1" t="n">
        <v>43985</v>
      </c>
      <c r="C64" s="1" t="n">
        <v>45718</v>
      </c>
      <c r="D64" t="inlineStr">
        <is>
          <t>HALLANDS LÄN</t>
        </is>
      </c>
      <c r="E64" t="inlineStr">
        <is>
          <t>KUNGSBACKA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28111-2020</t>
        </is>
      </c>
      <c r="B65" s="1" t="n">
        <v>43994</v>
      </c>
      <c r="C65" s="1" t="n">
        <v>45718</v>
      </c>
      <c r="D65" t="inlineStr">
        <is>
          <t>HALLANDS LÄN</t>
        </is>
      </c>
      <c r="E65" t="inlineStr">
        <is>
          <t>KUNGSBACKA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29629-2020</t>
        </is>
      </c>
      <c r="B66" s="1" t="n">
        <v>44005</v>
      </c>
      <c r="C66" s="1" t="n">
        <v>45718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31104-2020</t>
        </is>
      </c>
      <c r="B67" s="1" t="n">
        <v>44012</v>
      </c>
      <c r="C67" s="1" t="n">
        <v>45718</v>
      </c>
      <c r="D67" t="inlineStr">
        <is>
          <t>HALLANDS LÄN</t>
        </is>
      </c>
      <c r="E67" t="inlineStr">
        <is>
          <t>KUNGSBACKA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33528-2020</t>
        </is>
      </c>
      <c r="B68" s="1" t="n">
        <v>44025</v>
      </c>
      <c r="C68" s="1" t="n">
        <v>45718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34936-2020</t>
        </is>
      </c>
      <c r="B69" s="1" t="n">
        <v>44037</v>
      </c>
      <c r="C69" s="1" t="n">
        <v>45718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34964-2020</t>
        </is>
      </c>
      <c r="B70" s="1" t="n">
        <v>44039</v>
      </c>
      <c r="C70" s="1" t="n">
        <v>45718</v>
      </c>
      <c r="D70" t="inlineStr">
        <is>
          <t>HALLANDS LÄN</t>
        </is>
      </c>
      <c r="E70" t="inlineStr">
        <is>
          <t>KUNGSBACKA</t>
        </is>
      </c>
      <c r="F70" t="inlineStr">
        <is>
          <t>Sveaskog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35275-2020</t>
        </is>
      </c>
      <c r="B71" s="1" t="n">
        <v>44041</v>
      </c>
      <c r="C71" s="1" t="n">
        <v>45718</v>
      </c>
      <c r="D71" t="inlineStr">
        <is>
          <t>HALLANDS LÄN</t>
        </is>
      </c>
      <c r="E71" t="inlineStr">
        <is>
          <t>KUNGSBACKA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35667-2020</t>
        </is>
      </c>
      <c r="B72" s="1" t="n">
        <v>44046</v>
      </c>
      <c r="C72" s="1" t="n">
        <v>45718</v>
      </c>
      <c r="D72" t="inlineStr">
        <is>
          <t>HALLANDS LÄN</t>
        </is>
      </c>
      <c r="E72" t="inlineStr">
        <is>
          <t>KUNGSBACKA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51155-2020</t>
        </is>
      </c>
      <c r="B73" s="1" t="n">
        <v>44112</v>
      </c>
      <c r="C73" s="1" t="n">
        <v>45718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51198-2020</t>
        </is>
      </c>
      <c r="B74" s="1" t="n">
        <v>44112</v>
      </c>
      <c r="C74" s="1" t="n">
        <v>45718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52369-2020</t>
        </is>
      </c>
      <c r="B75" s="1" t="n">
        <v>44112</v>
      </c>
      <c r="C75" s="1" t="n">
        <v>45718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51417-2020</t>
        </is>
      </c>
      <c r="B76" s="1" t="n">
        <v>44113</v>
      </c>
      <c r="C76" s="1" t="n">
        <v>45718</v>
      </c>
      <c r="D76" t="inlineStr">
        <is>
          <t>HALLANDS LÄN</t>
        </is>
      </c>
      <c r="E76" t="inlineStr">
        <is>
          <t>KUNGSBACKA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52303-2020</t>
        </is>
      </c>
      <c r="B77" s="1" t="n">
        <v>44117</v>
      </c>
      <c r="C77" s="1" t="n">
        <v>45718</v>
      </c>
      <c r="D77" t="inlineStr">
        <is>
          <t>HALLANDS LÄN</t>
        </is>
      </c>
      <c r="E77" t="inlineStr">
        <is>
          <t>KUNGSBACKA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55049-2020</t>
        </is>
      </c>
      <c r="B78" s="1" t="n">
        <v>44130</v>
      </c>
      <c r="C78" s="1" t="n">
        <v>45718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56629-2020</t>
        </is>
      </c>
      <c r="B79" s="1" t="n">
        <v>44137</v>
      </c>
      <c r="C79" s="1" t="n">
        <v>45718</v>
      </c>
      <c r="D79" t="inlineStr">
        <is>
          <t>HALLANDS LÄN</t>
        </is>
      </c>
      <c r="E79" t="inlineStr">
        <is>
          <t>KUNGSBACKA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56959-2020</t>
        </is>
      </c>
      <c r="B80" s="1" t="n">
        <v>44138</v>
      </c>
      <c r="C80" s="1" t="n">
        <v>45718</v>
      </c>
      <c r="D80" t="inlineStr">
        <is>
          <t>HALLANDS LÄN</t>
        </is>
      </c>
      <c r="E80" t="inlineStr">
        <is>
          <t>KUNGSBACKA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60790-2020</t>
        </is>
      </c>
      <c r="B81" s="1" t="n">
        <v>44154</v>
      </c>
      <c r="C81" s="1" t="n">
        <v>45718</v>
      </c>
      <c r="D81" t="inlineStr">
        <is>
          <t>HALLANDS LÄN</t>
        </is>
      </c>
      <c r="E81" t="inlineStr">
        <is>
          <t>KUNGSBACKA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62753-2020</t>
        </is>
      </c>
      <c r="B82" s="1" t="n">
        <v>44161</v>
      </c>
      <c r="C82" s="1" t="n">
        <v>45718</v>
      </c>
      <c r="D82" t="inlineStr">
        <is>
          <t>HALLANDS LÄN</t>
        </is>
      </c>
      <c r="E82" t="inlineStr">
        <is>
          <t>KUNGSBACKA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62944-2020</t>
        </is>
      </c>
      <c r="B83" s="1" t="n">
        <v>44162</v>
      </c>
      <c r="C83" s="1" t="n">
        <v>45718</v>
      </c>
      <c r="D83" t="inlineStr">
        <is>
          <t>HALLANDS LÄN</t>
        </is>
      </c>
      <c r="E83" t="inlineStr">
        <is>
          <t>KUNGSBACKA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66004-2020</t>
        </is>
      </c>
      <c r="B84" s="1" t="n">
        <v>44175</v>
      </c>
      <c r="C84" s="1" t="n">
        <v>45718</v>
      </c>
      <c r="D84" t="inlineStr">
        <is>
          <t>HALLANDS LÄN</t>
        </is>
      </c>
      <c r="E84" t="inlineStr">
        <is>
          <t>KUNGSBACKA</t>
        </is>
      </c>
      <c r="F84" t="inlineStr">
        <is>
          <t>Övriga Aktiebolag</t>
        </is>
      </c>
      <c r="G84" t="n">
        <v>17.3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68618-2020</t>
        </is>
      </c>
      <c r="B85" s="1" t="n">
        <v>44186</v>
      </c>
      <c r="C85" s="1" t="n">
        <v>45718</v>
      </c>
      <c r="D85" t="inlineStr">
        <is>
          <t>HALLANDS LÄN</t>
        </is>
      </c>
      <c r="E85" t="inlineStr">
        <is>
          <t>KUNGSBACKA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68617-2020</t>
        </is>
      </c>
      <c r="B86" s="1" t="n">
        <v>44186</v>
      </c>
      <c r="C86" s="1" t="n">
        <v>45718</v>
      </c>
      <c r="D86" t="inlineStr">
        <is>
          <t>HALLANDS LÄN</t>
        </is>
      </c>
      <c r="E86" t="inlineStr">
        <is>
          <t>KUNGSBACKA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68588-2020</t>
        </is>
      </c>
      <c r="B87" s="1" t="n">
        <v>44186</v>
      </c>
      <c r="C87" s="1" t="n">
        <v>45718</v>
      </c>
      <c r="D87" t="inlineStr">
        <is>
          <t>HALLANDS LÄN</t>
        </is>
      </c>
      <c r="E87" t="inlineStr">
        <is>
          <t>KUNGSBACKA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149-2021</t>
        </is>
      </c>
      <c r="B88" s="1" t="n">
        <v>44200</v>
      </c>
      <c r="C88" s="1" t="n">
        <v>45718</v>
      </c>
      <c r="D88" t="inlineStr">
        <is>
          <t>HALLANDS LÄN</t>
        </is>
      </c>
      <c r="E88" t="inlineStr">
        <is>
          <t>KUNGSBACKA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3355-2021</t>
        </is>
      </c>
      <c r="B89" s="1" t="n">
        <v>44217</v>
      </c>
      <c r="C89" s="1" t="n">
        <v>45718</v>
      </c>
      <c r="D89" t="inlineStr">
        <is>
          <t>HALLANDS LÄN</t>
        </is>
      </c>
      <c r="E89" t="inlineStr">
        <is>
          <t>KUNGSBACKA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4554-2021</t>
        </is>
      </c>
      <c r="B90" s="1" t="n">
        <v>44224</v>
      </c>
      <c r="C90" s="1" t="n">
        <v>45718</v>
      </c>
      <c r="D90" t="inlineStr">
        <is>
          <t>HALLANDS LÄN</t>
        </is>
      </c>
      <c r="E90" t="inlineStr">
        <is>
          <t>KUNGSBACKA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4862-2021</t>
        </is>
      </c>
      <c r="B91" s="1" t="n">
        <v>44225</v>
      </c>
      <c r="C91" s="1" t="n">
        <v>45718</v>
      </c>
      <c r="D91" t="inlineStr">
        <is>
          <t>HALLANDS LÄN</t>
        </is>
      </c>
      <c r="E91" t="inlineStr">
        <is>
          <t>KUNGSBACKA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8410-2021</t>
        </is>
      </c>
      <c r="B92" s="1" t="n">
        <v>44245</v>
      </c>
      <c r="C92" s="1" t="n">
        <v>45718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9282-2021</t>
        </is>
      </c>
      <c r="B93" s="1" t="n">
        <v>44250</v>
      </c>
      <c r="C93" s="1" t="n">
        <v>45718</v>
      </c>
      <c r="D93" t="inlineStr">
        <is>
          <t>HALLANDS LÄN</t>
        </is>
      </c>
      <c r="E93" t="inlineStr">
        <is>
          <t>KUNGSBACKA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9499-2021</t>
        </is>
      </c>
      <c r="B94" s="1" t="n">
        <v>44251</v>
      </c>
      <c r="C94" s="1" t="n">
        <v>45718</v>
      </c>
      <c r="D94" t="inlineStr">
        <is>
          <t>HALLANDS LÄN</t>
        </is>
      </c>
      <c r="E94" t="inlineStr">
        <is>
          <t>KUNGSBACKA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10346-2021</t>
        </is>
      </c>
      <c r="B95" s="1" t="n">
        <v>44257</v>
      </c>
      <c r="C95" s="1" t="n">
        <v>45718</v>
      </c>
      <c r="D95" t="inlineStr">
        <is>
          <t>HALLANDS LÄN</t>
        </is>
      </c>
      <c r="E95" t="inlineStr">
        <is>
          <t>KUNGSBACKA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13775-2021</t>
        </is>
      </c>
      <c r="B96" s="1" t="n">
        <v>44274</v>
      </c>
      <c r="C96" s="1" t="n">
        <v>45718</v>
      </c>
      <c r="D96" t="inlineStr">
        <is>
          <t>HALLANDS LÄN</t>
        </is>
      </c>
      <c r="E96" t="inlineStr">
        <is>
          <t>KUNGSBACKA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14361-2021</t>
        </is>
      </c>
      <c r="B97" s="1" t="n">
        <v>44279</v>
      </c>
      <c r="C97" s="1" t="n">
        <v>45718</v>
      </c>
      <c r="D97" t="inlineStr">
        <is>
          <t>HALLANDS LÄN</t>
        </is>
      </c>
      <c r="E97" t="inlineStr">
        <is>
          <t>KUNGSBACKA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14399-2021</t>
        </is>
      </c>
      <c r="B98" s="1" t="n">
        <v>44279</v>
      </c>
      <c r="C98" s="1" t="n">
        <v>45718</v>
      </c>
      <c r="D98" t="inlineStr">
        <is>
          <t>HALLANDS LÄN</t>
        </is>
      </c>
      <c r="E98" t="inlineStr">
        <is>
          <t>KUNGSBACKA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14374-2021</t>
        </is>
      </c>
      <c r="B99" s="1" t="n">
        <v>44279</v>
      </c>
      <c r="C99" s="1" t="n">
        <v>45718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14390-2021</t>
        </is>
      </c>
      <c r="B100" s="1" t="n">
        <v>44279</v>
      </c>
      <c r="C100" s="1" t="n">
        <v>45718</v>
      </c>
      <c r="D100" t="inlineStr">
        <is>
          <t>HALLANDS LÄN</t>
        </is>
      </c>
      <c r="E100" t="inlineStr">
        <is>
          <t>KUNGSBACKA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15632-2021</t>
        </is>
      </c>
      <c r="B101" s="1" t="n">
        <v>44285</v>
      </c>
      <c r="C101" s="1" t="n">
        <v>45718</v>
      </c>
      <c r="D101" t="inlineStr">
        <is>
          <t>HALLANDS LÄN</t>
        </is>
      </c>
      <c r="E101" t="inlineStr">
        <is>
          <t>KUNGSBACKA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15673-2021</t>
        </is>
      </c>
      <c r="B102" s="1" t="n">
        <v>44286</v>
      </c>
      <c r="C102" s="1" t="n">
        <v>45718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15686-2021</t>
        </is>
      </c>
      <c r="B103" s="1" t="n">
        <v>44286</v>
      </c>
      <c r="C103" s="1" t="n">
        <v>45718</v>
      </c>
      <c r="D103" t="inlineStr">
        <is>
          <t>HALLANDS LÄN</t>
        </is>
      </c>
      <c r="E103" t="inlineStr">
        <is>
          <t>KUNGSBACKA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17242-2021</t>
        </is>
      </c>
      <c r="B104" s="1" t="n">
        <v>44298</v>
      </c>
      <c r="C104" s="1" t="n">
        <v>45718</v>
      </c>
      <c r="D104" t="inlineStr">
        <is>
          <t>HALLANDS LÄN</t>
        </is>
      </c>
      <c r="E104" t="inlineStr">
        <is>
          <t>KUNGSBACKA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17243-2021</t>
        </is>
      </c>
      <c r="B105" s="1" t="n">
        <v>44298</v>
      </c>
      <c r="C105" s="1" t="n">
        <v>45718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19027-2021</t>
        </is>
      </c>
      <c r="B106" s="1" t="n">
        <v>44308</v>
      </c>
      <c r="C106" s="1" t="n">
        <v>45718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28118-2021</t>
        </is>
      </c>
      <c r="B107" s="1" t="n">
        <v>44355</v>
      </c>
      <c r="C107" s="1" t="n">
        <v>45718</v>
      </c>
      <c r="D107" t="inlineStr">
        <is>
          <t>HALLANDS LÄN</t>
        </is>
      </c>
      <c r="E107" t="inlineStr">
        <is>
          <t>KUNGSBACKA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30473-2021</t>
        </is>
      </c>
      <c r="B108" s="1" t="n">
        <v>44364</v>
      </c>
      <c r="C108" s="1" t="n">
        <v>45718</v>
      </c>
      <c r="D108" t="inlineStr">
        <is>
          <t>HALLANDS LÄN</t>
        </is>
      </c>
      <c r="E108" t="inlineStr">
        <is>
          <t>KUNGSBACKA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31246-2021</t>
        </is>
      </c>
      <c r="B109" s="1" t="n">
        <v>44368</v>
      </c>
      <c r="C109" s="1" t="n">
        <v>45718</v>
      </c>
      <c r="D109" t="inlineStr">
        <is>
          <t>HALLANDS LÄN</t>
        </is>
      </c>
      <c r="E109" t="inlineStr">
        <is>
          <t>KUNGSBACKA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33535-2021</t>
        </is>
      </c>
      <c r="B110" s="1" t="n">
        <v>44377</v>
      </c>
      <c r="C110" s="1" t="n">
        <v>45718</v>
      </c>
      <c r="D110" t="inlineStr">
        <is>
          <t>HALLANDS LÄN</t>
        </is>
      </c>
      <c r="E110" t="inlineStr">
        <is>
          <t>KUNGSBACKA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33715-2021</t>
        </is>
      </c>
      <c r="B111" s="1" t="n">
        <v>44378</v>
      </c>
      <c r="C111" s="1" t="n">
        <v>45718</v>
      </c>
      <c r="D111" t="inlineStr">
        <is>
          <t>HALLANDS LÄN</t>
        </is>
      </c>
      <c r="E111" t="inlineStr">
        <is>
          <t>KUNGSBACKA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34939-2021</t>
        </is>
      </c>
      <c r="B112" s="1" t="n">
        <v>44383</v>
      </c>
      <c r="C112" s="1" t="n">
        <v>45718</v>
      </c>
      <c r="D112" t="inlineStr">
        <is>
          <t>HALLANDS LÄN</t>
        </is>
      </c>
      <c r="E112" t="inlineStr">
        <is>
          <t>KUNGSBACKA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36358-2021</t>
        </is>
      </c>
      <c r="B113" s="1" t="n">
        <v>44390</v>
      </c>
      <c r="C113" s="1" t="n">
        <v>45718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36361-2021</t>
        </is>
      </c>
      <c r="B114" s="1" t="n">
        <v>44390</v>
      </c>
      <c r="C114" s="1" t="n">
        <v>45718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36364-2021</t>
        </is>
      </c>
      <c r="B115" s="1" t="n">
        <v>44390</v>
      </c>
      <c r="C115" s="1" t="n">
        <v>45718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36368-2021</t>
        </is>
      </c>
      <c r="B116" s="1" t="n">
        <v>44390</v>
      </c>
      <c r="C116" s="1" t="n">
        <v>45718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36366-2021</t>
        </is>
      </c>
      <c r="B117" s="1" t="n">
        <v>44390</v>
      </c>
      <c r="C117" s="1" t="n">
        <v>45718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36650-2021</t>
        </is>
      </c>
      <c r="B118" s="1" t="n">
        <v>44392</v>
      </c>
      <c r="C118" s="1" t="n">
        <v>45718</v>
      </c>
      <c r="D118" t="inlineStr">
        <is>
          <t>HALLANDS LÄN</t>
        </is>
      </c>
      <c r="E118" t="inlineStr">
        <is>
          <t>KUNGSBACKA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36984-2021</t>
        </is>
      </c>
      <c r="B119" s="1" t="n">
        <v>44393</v>
      </c>
      <c r="C119" s="1" t="n">
        <v>45718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39418-2021</t>
        </is>
      </c>
      <c r="B120" s="1" t="n">
        <v>44414</v>
      </c>
      <c r="C120" s="1" t="n">
        <v>45718</v>
      </c>
      <c r="D120" t="inlineStr">
        <is>
          <t>HALLANDS LÄN</t>
        </is>
      </c>
      <c r="E120" t="inlineStr">
        <is>
          <t>KUNGSBACKA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40024-2021</t>
        </is>
      </c>
      <c r="B121" s="1" t="n">
        <v>44418</v>
      </c>
      <c r="C121" s="1" t="n">
        <v>45718</v>
      </c>
      <c r="D121" t="inlineStr">
        <is>
          <t>HALLANDS LÄN</t>
        </is>
      </c>
      <c r="E121" t="inlineStr">
        <is>
          <t>KUNGSBACKA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41766-2021</t>
        </is>
      </c>
      <c r="B122" s="1" t="n">
        <v>44425</v>
      </c>
      <c r="C122" s="1" t="n">
        <v>45718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41769-2021</t>
        </is>
      </c>
      <c r="B123" s="1" t="n">
        <v>44425</v>
      </c>
      <c r="C123" s="1" t="n">
        <v>45718</v>
      </c>
      <c r="D123" t="inlineStr">
        <is>
          <t>HALLANDS LÄN</t>
        </is>
      </c>
      <c r="E123" t="inlineStr">
        <is>
          <t>KUNGSBACKA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42377-2021</t>
        </is>
      </c>
      <c r="B124" s="1" t="n">
        <v>44427</v>
      </c>
      <c r="C124" s="1" t="n">
        <v>45718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49906-2021</t>
        </is>
      </c>
      <c r="B125" s="1" t="n">
        <v>44455</v>
      </c>
      <c r="C125" s="1" t="n">
        <v>45718</v>
      </c>
      <c r="D125" t="inlineStr">
        <is>
          <t>HALLANDS LÄN</t>
        </is>
      </c>
      <c r="E125" t="inlineStr">
        <is>
          <t>KUNGSBACKA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51059-2021</t>
        </is>
      </c>
      <c r="B126" s="1" t="n">
        <v>44461</v>
      </c>
      <c r="C126" s="1" t="n">
        <v>45718</v>
      </c>
      <c r="D126" t="inlineStr">
        <is>
          <t>HALLANDS LÄN</t>
        </is>
      </c>
      <c r="E126" t="inlineStr">
        <is>
          <t>KUNGSBACKA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51535-2021</t>
        </is>
      </c>
      <c r="B127" s="1" t="n">
        <v>44462</v>
      </c>
      <c r="C127" s="1" t="n">
        <v>45718</v>
      </c>
      <c r="D127" t="inlineStr">
        <is>
          <t>HALLANDS LÄN</t>
        </is>
      </c>
      <c r="E127" t="inlineStr">
        <is>
          <t>KUNGSBACKA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53051-2021</t>
        </is>
      </c>
      <c r="B128" s="1" t="n">
        <v>44467</v>
      </c>
      <c r="C128" s="1" t="n">
        <v>45718</v>
      </c>
      <c r="D128" t="inlineStr">
        <is>
          <t>HALLANDS LÄN</t>
        </is>
      </c>
      <c r="E128" t="inlineStr">
        <is>
          <t>KUNGSBACKA</t>
        </is>
      </c>
      <c r="F128" t="inlineStr">
        <is>
          <t>Kommuner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52909-2021</t>
        </is>
      </c>
      <c r="B129" s="1" t="n">
        <v>44467</v>
      </c>
      <c r="C129" s="1" t="n">
        <v>45718</v>
      </c>
      <c r="D129" t="inlineStr">
        <is>
          <t>HALLANDS LÄN</t>
        </is>
      </c>
      <c r="E129" t="inlineStr">
        <is>
          <t>KUNGSBACKA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53378-2021</t>
        </is>
      </c>
      <c r="B130" s="1" t="n">
        <v>44468</v>
      </c>
      <c r="C130" s="1" t="n">
        <v>45718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53380-2021</t>
        </is>
      </c>
      <c r="B131" s="1" t="n">
        <v>44468</v>
      </c>
      <c r="C131" s="1" t="n">
        <v>45718</v>
      </c>
      <c r="D131" t="inlineStr">
        <is>
          <t>HALLANDS LÄN</t>
        </is>
      </c>
      <c r="E131" t="inlineStr">
        <is>
          <t>KUNGSBACKA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55477-2021</t>
        </is>
      </c>
      <c r="B132" s="1" t="n">
        <v>44475</v>
      </c>
      <c r="C132" s="1" t="n">
        <v>45718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57034-2021</t>
        </is>
      </c>
      <c r="B133" s="1" t="n">
        <v>44482</v>
      </c>
      <c r="C133" s="1" t="n">
        <v>45718</v>
      </c>
      <c r="D133" t="inlineStr">
        <is>
          <t>HALLANDS LÄN</t>
        </is>
      </c>
      <c r="E133" t="inlineStr">
        <is>
          <t>KUNGSBACKA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58118-2021</t>
        </is>
      </c>
      <c r="B134" s="1" t="n">
        <v>44487</v>
      </c>
      <c r="C134" s="1" t="n">
        <v>45718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58678-2021</t>
        </is>
      </c>
      <c r="B135" s="1" t="n">
        <v>44489</v>
      </c>
      <c r="C135" s="1" t="n">
        <v>45718</v>
      </c>
      <c r="D135" t="inlineStr">
        <is>
          <t>HALLANDS LÄN</t>
        </is>
      </c>
      <c r="E135" t="inlineStr">
        <is>
          <t>KUNGSBACKA</t>
        </is>
      </c>
      <c r="F135" t="inlineStr">
        <is>
          <t>Sveaskog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62158-2021</t>
        </is>
      </c>
      <c r="B136" s="1" t="n">
        <v>44502</v>
      </c>
      <c r="C136" s="1" t="n">
        <v>45718</v>
      </c>
      <c r="D136" t="inlineStr">
        <is>
          <t>HALLANDS LÄN</t>
        </is>
      </c>
      <c r="E136" t="inlineStr">
        <is>
          <t>KUNGSBACKA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62156-2021</t>
        </is>
      </c>
      <c r="B137" s="1" t="n">
        <v>44502</v>
      </c>
      <c r="C137" s="1" t="n">
        <v>45718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63966-2021</t>
        </is>
      </c>
      <c r="B138" s="1" t="n">
        <v>44509</v>
      </c>
      <c r="C138" s="1" t="n">
        <v>45718</v>
      </c>
      <c r="D138" t="inlineStr">
        <is>
          <t>HALLANDS LÄN</t>
        </is>
      </c>
      <c r="E138" t="inlineStr">
        <is>
          <t>KUNGSBACKA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64129-2021</t>
        </is>
      </c>
      <c r="B139" s="1" t="n">
        <v>44510</v>
      </c>
      <c r="C139" s="1" t="n">
        <v>45718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70634-2021</t>
        </is>
      </c>
      <c r="B140" s="1" t="n">
        <v>44537</v>
      </c>
      <c r="C140" s="1" t="n">
        <v>45718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70904-2021</t>
        </is>
      </c>
      <c r="B141" s="1" t="n">
        <v>44538</v>
      </c>
      <c r="C141" s="1" t="n">
        <v>45718</v>
      </c>
      <c r="D141" t="inlineStr">
        <is>
          <t>HALLANDS LÄN</t>
        </is>
      </c>
      <c r="E141" t="inlineStr">
        <is>
          <t>KUNGSBACKA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71676-2021</t>
        </is>
      </c>
      <c r="B142" s="1" t="n">
        <v>44539</v>
      </c>
      <c r="C142" s="1" t="n">
        <v>45718</v>
      </c>
      <c r="D142" t="inlineStr">
        <is>
          <t>HALLANDS LÄN</t>
        </is>
      </c>
      <c r="E142" t="inlineStr">
        <is>
          <t>KUNGSBACKA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71687-2021</t>
        </is>
      </c>
      <c r="B143" s="1" t="n">
        <v>44539</v>
      </c>
      <c r="C143" s="1" t="n">
        <v>45718</v>
      </c>
      <c r="D143" t="inlineStr">
        <is>
          <t>HALLANDS LÄN</t>
        </is>
      </c>
      <c r="E143" t="inlineStr">
        <is>
          <t>KUNGSBACKA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71891-2021</t>
        </is>
      </c>
      <c r="B144" s="1" t="n">
        <v>44543</v>
      </c>
      <c r="C144" s="1" t="n">
        <v>45718</v>
      </c>
      <c r="D144" t="inlineStr">
        <is>
          <t>HALLANDS LÄN</t>
        </is>
      </c>
      <c r="E144" t="inlineStr">
        <is>
          <t>KUNGSBACKA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2281-2022</t>
        </is>
      </c>
      <c r="B145" s="1" t="n">
        <v>44578</v>
      </c>
      <c r="C145" s="1" t="n">
        <v>45718</v>
      </c>
      <c r="D145" t="inlineStr">
        <is>
          <t>HALLANDS LÄN</t>
        </is>
      </c>
      <c r="E145" t="inlineStr">
        <is>
          <t>KUNGSBACKA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4979-2022</t>
        </is>
      </c>
      <c r="B146" s="1" t="n">
        <v>44593</v>
      </c>
      <c r="C146" s="1" t="n">
        <v>45718</v>
      </c>
      <c r="D146" t="inlineStr">
        <is>
          <t>HALLANDS LÄN</t>
        </is>
      </c>
      <c r="E146" t="inlineStr">
        <is>
          <t>KUNGSBACKA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6260-2022</t>
        </is>
      </c>
      <c r="B147" s="1" t="n">
        <v>44600</v>
      </c>
      <c r="C147" s="1" t="n">
        <v>45718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6504-2022</t>
        </is>
      </c>
      <c r="B148" s="1" t="n">
        <v>44601</v>
      </c>
      <c r="C148" s="1" t="n">
        <v>45718</v>
      </c>
      <c r="D148" t="inlineStr">
        <is>
          <t>HALLANDS LÄN</t>
        </is>
      </c>
      <c r="E148" t="inlineStr">
        <is>
          <t>KUNGSBACKA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8640-2022</t>
        </is>
      </c>
      <c r="B149" s="1" t="n">
        <v>44613</v>
      </c>
      <c r="C149" s="1" t="n">
        <v>45718</v>
      </c>
      <c r="D149" t="inlineStr">
        <is>
          <t>HALLANDS LÄN</t>
        </is>
      </c>
      <c r="E149" t="inlineStr">
        <is>
          <t>KUNGSBACKA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8677-2022</t>
        </is>
      </c>
      <c r="B150" s="1" t="n">
        <v>44613</v>
      </c>
      <c r="C150" s="1" t="n">
        <v>45718</v>
      </c>
      <c r="D150" t="inlineStr">
        <is>
          <t>HALLANDS LÄN</t>
        </is>
      </c>
      <c r="E150" t="inlineStr">
        <is>
          <t>KUNGSBACKA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9507-2022</t>
        </is>
      </c>
      <c r="B151" s="1" t="n">
        <v>44617</v>
      </c>
      <c r="C151" s="1" t="n">
        <v>45718</v>
      </c>
      <c r="D151" t="inlineStr">
        <is>
          <t>HALLANDS LÄN</t>
        </is>
      </c>
      <c r="E151" t="inlineStr">
        <is>
          <t>KUNGSBACKA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11154-2022</t>
        </is>
      </c>
      <c r="B152" s="1" t="n">
        <v>44629</v>
      </c>
      <c r="C152" s="1" t="n">
        <v>45718</v>
      </c>
      <c r="D152" t="inlineStr">
        <is>
          <t>HALLANDS LÄN</t>
        </is>
      </c>
      <c r="E152" t="inlineStr">
        <is>
          <t>KUNGSBACKA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13373-2022</t>
        </is>
      </c>
      <c r="B153" s="1" t="n">
        <v>44645</v>
      </c>
      <c r="C153" s="1" t="n">
        <v>45718</v>
      </c>
      <c r="D153" t="inlineStr">
        <is>
          <t>HALLANDS LÄN</t>
        </is>
      </c>
      <c r="E153" t="inlineStr">
        <is>
          <t>KUNGSBACKA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13739-2022</t>
        </is>
      </c>
      <c r="B154" s="1" t="n">
        <v>44649</v>
      </c>
      <c r="C154" s="1" t="n">
        <v>45718</v>
      </c>
      <c r="D154" t="inlineStr">
        <is>
          <t>HALLANDS LÄN</t>
        </is>
      </c>
      <c r="E154" t="inlineStr">
        <is>
          <t>KUNGSBACKA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17769-2022</t>
        </is>
      </c>
      <c r="B155" s="1" t="n">
        <v>44681</v>
      </c>
      <c r="C155" s="1" t="n">
        <v>45718</v>
      </c>
      <c r="D155" t="inlineStr">
        <is>
          <t>HALLANDS LÄN</t>
        </is>
      </c>
      <c r="E155" t="inlineStr">
        <is>
          <t>KUNGSBACKA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18057-2022</t>
        </is>
      </c>
      <c r="B156" s="1" t="n">
        <v>44684</v>
      </c>
      <c r="C156" s="1" t="n">
        <v>45718</v>
      </c>
      <c r="D156" t="inlineStr">
        <is>
          <t>HALLANDS LÄN</t>
        </is>
      </c>
      <c r="E156" t="inlineStr">
        <is>
          <t>KUNGSBACKA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19502-2022</t>
        </is>
      </c>
      <c r="B157" s="1" t="n">
        <v>44693</v>
      </c>
      <c r="C157" s="1" t="n">
        <v>45718</v>
      </c>
      <c r="D157" t="inlineStr">
        <is>
          <t>HALLANDS LÄN</t>
        </is>
      </c>
      <c r="E157" t="inlineStr">
        <is>
          <t>KUNGSBACKA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24459-2022</t>
        </is>
      </c>
      <c r="B158" s="1" t="n">
        <v>44726</v>
      </c>
      <c r="C158" s="1" t="n">
        <v>45718</v>
      </c>
      <c r="D158" t="inlineStr">
        <is>
          <t>HALLANDS LÄN</t>
        </is>
      </c>
      <c r="E158" t="inlineStr">
        <is>
          <t>KUNGSBACKA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26979-2022</t>
        </is>
      </c>
      <c r="B159" s="1" t="n">
        <v>44740</v>
      </c>
      <c r="C159" s="1" t="n">
        <v>45718</v>
      </c>
      <c r="D159" t="inlineStr">
        <is>
          <t>HALLANDS LÄN</t>
        </is>
      </c>
      <c r="E159" t="inlineStr">
        <is>
          <t>KUNGSBACKA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28260-2022</t>
        </is>
      </c>
      <c r="B160" s="1" t="n">
        <v>44746</v>
      </c>
      <c r="C160" s="1" t="n">
        <v>45718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28529-2022</t>
        </is>
      </c>
      <c r="B161" s="1" t="n">
        <v>44748</v>
      </c>
      <c r="C161" s="1" t="n">
        <v>45718</v>
      </c>
      <c r="D161" t="inlineStr">
        <is>
          <t>HALLANDS LÄN</t>
        </is>
      </c>
      <c r="E161" t="inlineStr">
        <is>
          <t>KUNGSBACKA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28625-2022</t>
        </is>
      </c>
      <c r="B162" s="1" t="n">
        <v>44748</v>
      </c>
      <c r="C162" s="1" t="n">
        <v>45718</v>
      </c>
      <c r="D162" t="inlineStr">
        <is>
          <t>HALLANDS LÄN</t>
        </is>
      </c>
      <c r="E162" t="inlineStr">
        <is>
          <t>KUNGSBACKA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30885-2022</t>
        </is>
      </c>
      <c r="B163" s="1" t="n">
        <v>44767</v>
      </c>
      <c r="C163" s="1" t="n">
        <v>45718</v>
      </c>
      <c r="D163" t="inlineStr">
        <is>
          <t>HALLANDS LÄN</t>
        </is>
      </c>
      <c r="E163" t="inlineStr">
        <is>
          <t>KUNGSBACKA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30901-2022</t>
        </is>
      </c>
      <c r="B164" s="1" t="n">
        <v>44767</v>
      </c>
      <c r="C164" s="1" t="n">
        <v>45718</v>
      </c>
      <c r="D164" t="inlineStr">
        <is>
          <t>HALLANDS LÄN</t>
        </is>
      </c>
      <c r="E164" t="inlineStr">
        <is>
          <t>KUNGSBACKA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30952-2022</t>
        </is>
      </c>
      <c r="B165" s="1" t="n">
        <v>44768</v>
      </c>
      <c r="C165" s="1" t="n">
        <v>45718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31302-2022</t>
        </is>
      </c>
      <c r="B166" s="1" t="n">
        <v>44773</v>
      </c>
      <c r="C166" s="1" t="n">
        <v>45718</v>
      </c>
      <c r="D166" t="inlineStr">
        <is>
          <t>HALLANDS LÄN</t>
        </is>
      </c>
      <c r="E166" t="inlineStr">
        <is>
          <t>KUNGSBACKA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31617-2022</t>
        </is>
      </c>
      <c r="B167" s="1" t="n">
        <v>44775</v>
      </c>
      <c r="C167" s="1" t="n">
        <v>45718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31887-2022</t>
        </is>
      </c>
      <c r="B168" s="1" t="n">
        <v>44777</v>
      </c>
      <c r="C168" s="1" t="n">
        <v>45718</v>
      </c>
      <c r="D168" t="inlineStr">
        <is>
          <t>HALLANDS LÄN</t>
        </is>
      </c>
      <c r="E168" t="inlineStr">
        <is>
          <t>KUNGSBACKA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31884-2022</t>
        </is>
      </c>
      <c r="B169" s="1" t="n">
        <v>44777</v>
      </c>
      <c r="C169" s="1" t="n">
        <v>45718</v>
      </c>
      <c r="D169" t="inlineStr">
        <is>
          <t>HALLANDS LÄN</t>
        </is>
      </c>
      <c r="E169" t="inlineStr">
        <is>
          <t>KUNGSBACKA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32699-2022</t>
        </is>
      </c>
      <c r="B170" s="1" t="n">
        <v>44783</v>
      </c>
      <c r="C170" s="1" t="n">
        <v>45718</v>
      </c>
      <c r="D170" t="inlineStr">
        <is>
          <t>HALLANDS LÄN</t>
        </is>
      </c>
      <c r="E170" t="inlineStr">
        <is>
          <t>KUNGSBACKA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32698-2022</t>
        </is>
      </c>
      <c r="B171" s="1" t="n">
        <v>44783</v>
      </c>
      <c r="C171" s="1" t="n">
        <v>45718</v>
      </c>
      <c r="D171" t="inlineStr">
        <is>
          <t>HALLANDS LÄN</t>
        </is>
      </c>
      <c r="E171" t="inlineStr">
        <is>
          <t>KUNGSBACKA</t>
        </is>
      </c>
      <c r="G171" t="n">
        <v>18.8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33646-2022</t>
        </is>
      </c>
      <c r="B172" s="1" t="n">
        <v>44789</v>
      </c>
      <c r="C172" s="1" t="n">
        <v>45718</v>
      </c>
      <c r="D172" t="inlineStr">
        <is>
          <t>HALLANDS LÄN</t>
        </is>
      </c>
      <c r="E172" t="inlineStr">
        <is>
          <t>KUNGSBACKA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34211-2022</t>
        </is>
      </c>
      <c r="B173" s="1" t="n">
        <v>44791</v>
      </c>
      <c r="C173" s="1" t="n">
        <v>45718</v>
      </c>
      <c r="D173" t="inlineStr">
        <is>
          <t>HALLANDS LÄN</t>
        </is>
      </c>
      <c r="E173" t="inlineStr">
        <is>
          <t>KUNGSBACKA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36670-2022</t>
        </is>
      </c>
      <c r="B174" s="1" t="n">
        <v>44804</v>
      </c>
      <c r="C174" s="1" t="n">
        <v>45718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40582-2022</t>
        </is>
      </c>
      <c r="B175" s="1" t="n">
        <v>44819</v>
      </c>
      <c r="C175" s="1" t="n">
        <v>45718</v>
      </c>
      <c r="D175" t="inlineStr">
        <is>
          <t>HALLANDS LÄN</t>
        </is>
      </c>
      <c r="E175" t="inlineStr">
        <is>
          <t>KUNGSBACKA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40760-2022</t>
        </is>
      </c>
      <c r="B176" s="1" t="n">
        <v>44824</v>
      </c>
      <c r="C176" s="1" t="n">
        <v>45718</v>
      </c>
      <c r="D176" t="inlineStr">
        <is>
          <t>HALLANDS LÄN</t>
        </is>
      </c>
      <c r="E176" t="inlineStr">
        <is>
          <t>KUNGSBACKA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42412-2022</t>
        </is>
      </c>
      <c r="B177" s="1" t="n">
        <v>44831</v>
      </c>
      <c r="C177" s="1" t="n">
        <v>45718</v>
      </c>
      <c r="D177" t="inlineStr">
        <is>
          <t>HALLANDS LÄN</t>
        </is>
      </c>
      <c r="E177" t="inlineStr">
        <is>
          <t>KUNGSBACKA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44638-2022</t>
        </is>
      </c>
      <c r="B178" s="1" t="n">
        <v>44840</v>
      </c>
      <c r="C178" s="1" t="n">
        <v>45718</v>
      </c>
      <c r="D178" t="inlineStr">
        <is>
          <t>HALLANDS LÄN</t>
        </is>
      </c>
      <c r="E178" t="inlineStr">
        <is>
          <t>KUNGSBACKA</t>
        </is>
      </c>
      <c r="F178" t="inlineStr">
        <is>
          <t>Kommuner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44984-2022</t>
        </is>
      </c>
      <c r="B179" s="1" t="n">
        <v>44841</v>
      </c>
      <c r="C179" s="1" t="n">
        <v>45718</v>
      </c>
      <c r="D179" t="inlineStr">
        <is>
          <t>HALLANDS LÄN</t>
        </is>
      </c>
      <c r="E179" t="inlineStr">
        <is>
          <t>KUNGSBACKA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46779-2022</t>
        </is>
      </c>
      <c r="B180" s="1" t="n">
        <v>44851</v>
      </c>
      <c r="C180" s="1" t="n">
        <v>45718</v>
      </c>
      <c r="D180" t="inlineStr">
        <is>
          <t>HALLANDS LÄN</t>
        </is>
      </c>
      <c r="E180" t="inlineStr">
        <is>
          <t>KUNGSBACKA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47401-2022</t>
        </is>
      </c>
      <c r="B181" s="1" t="n">
        <v>44853</v>
      </c>
      <c r="C181" s="1" t="n">
        <v>45718</v>
      </c>
      <c r="D181" t="inlineStr">
        <is>
          <t>HALLANDS LÄN</t>
        </is>
      </c>
      <c r="E181" t="inlineStr">
        <is>
          <t>KUNGSBACKA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47307-2022</t>
        </is>
      </c>
      <c r="B182" s="1" t="n">
        <v>44853</v>
      </c>
      <c r="C182" s="1" t="n">
        <v>45718</v>
      </c>
      <c r="D182" t="inlineStr">
        <is>
          <t>HALLANDS LÄN</t>
        </is>
      </c>
      <c r="E182" t="inlineStr">
        <is>
          <t>KUNGSBACKA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51331-2022</t>
        </is>
      </c>
      <c r="B183" s="1" t="n">
        <v>44869</v>
      </c>
      <c r="C183" s="1" t="n">
        <v>45718</v>
      </c>
      <c r="D183" t="inlineStr">
        <is>
          <t>HALLANDS LÄN</t>
        </is>
      </c>
      <c r="E183" t="inlineStr">
        <is>
          <t>KUNGSBACKA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51332-2022</t>
        </is>
      </c>
      <c r="B184" s="1" t="n">
        <v>44869</v>
      </c>
      <c r="C184" s="1" t="n">
        <v>45718</v>
      </c>
      <c r="D184" t="inlineStr">
        <is>
          <t>HALLANDS LÄN</t>
        </is>
      </c>
      <c r="E184" t="inlineStr">
        <is>
          <t>KUNGSBACKA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52317-2022</t>
        </is>
      </c>
      <c r="B185" s="1" t="n">
        <v>44873</v>
      </c>
      <c r="C185" s="1" t="n">
        <v>45718</v>
      </c>
      <c r="D185" t="inlineStr">
        <is>
          <t>HALLANDS LÄN</t>
        </is>
      </c>
      <c r="E185" t="inlineStr">
        <is>
          <t>KUNGSBACKA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53882-2022</t>
        </is>
      </c>
      <c r="B186" s="1" t="n">
        <v>44880</v>
      </c>
      <c r="C186" s="1" t="n">
        <v>45718</v>
      </c>
      <c r="D186" t="inlineStr">
        <is>
          <t>HALLANDS LÄN</t>
        </is>
      </c>
      <c r="E186" t="inlineStr">
        <is>
          <t>KUNGSBACKA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57056-2022</t>
        </is>
      </c>
      <c r="B187" s="1" t="n">
        <v>44895</v>
      </c>
      <c r="C187" s="1" t="n">
        <v>45718</v>
      </c>
      <c r="D187" t="inlineStr">
        <is>
          <t>HALLANDS LÄN</t>
        </is>
      </c>
      <c r="E187" t="inlineStr">
        <is>
          <t>KUNGSBACKA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57790-2022</t>
        </is>
      </c>
      <c r="B188" s="1" t="n">
        <v>44897</v>
      </c>
      <c r="C188" s="1" t="n">
        <v>45718</v>
      </c>
      <c r="D188" t="inlineStr">
        <is>
          <t>HALLANDS LÄN</t>
        </is>
      </c>
      <c r="E188" t="inlineStr">
        <is>
          <t>KUNGSBACKA</t>
        </is>
      </c>
      <c r="G188" t="n">
        <v>18.8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62664-2022</t>
        </is>
      </c>
      <c r="B189" s="1" t="n">
        <v>44925</v>
      </c>
      <c r="C189" s="1" t="n">
        <v>45718</v>
      </c>
      <c r="D189" t="inlineStr">
        <is>
          <t>HALLANDS LÄN</t>
        </is>
      </c>
      <c r="E189" t="inlineStr">
        <is>
          <t>KUNGSBACKA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62741-2022</t>
        </is>
      </c>
      <c r="B190" s="1" t="n">
        <v>44925</v>
      </c>
      <c r="C190" s="1" t="n">
        <v>45718</v>
      </c>
      <c r="D190" t="inlineStr">
        <is>
          <t>HALLANDS LÄN</t>
        </is>
      </c>
      <c r="E190" t="inlineStr">
        <is>
          <t>KUNGSBACKA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62743-2022</t>
        </is>
      </c>
      <c r="B191" s="1" t="n">
        <v>44925</v>
      </c>
      <c r="C191" s="1" t="n">
        <v>45718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62742-2022</t>
        </is>
      </c>
      <c r="B192" s="1" t="n">
        <v>44925</v>
      </c>
      <c r="C192" s="1" t="n">
        <v>45718</v>
      </c>
      <c r="D192" t="inlineStr">
        <is>
          <t>HALLANDS LÄN</t>
        </is>
      </c>
      <c r="E192" t="inlineStr">
        <is>
          <t>KUNGSBACKA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1765-2023</t>
        </is>
      </c>
      <c r="B193" s="1" t="n">
        <v>44936</v>
      </c>
      <c r="C193" s="1" t="n">
        <v>45718</v>
      </c>
      <c r="D193" t="inlineStr">
        <is>
          <t>HALLANDS LÄN</t>
        </is>
      </c>
      <c r="E193" t="inlineStr">
        <is>
          <t>KUNGSBACKA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2415-2023</t>
        </is>
      </c>
      <c r="B194" s="1" t="n">
        <v>44942</v>
      </c>
      <c r="C194" s="1" t="n">
        <v>45718</v>
      </c>
      <c r="D194" t="inlineStr">
        <is>
          <t>HALLANDS LÄN</t>
        </is>
      </c>
      <c r="E194" t="inlineStr">
        <is>
          <t>KUNGSBACKA</t>
        </is>
      </c>
      <c r="G194" t="n">
        <v>19.2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2881-2023</t>
        </is>
      </c>
      <c r="B195" s="1" t="n">
        <v>44945</v>
      </c>
      <c r="C195" s="1" t="n">
        <v>45718</v>
      </c>
      <c r="D195" t="inlineStr">
        <is>
          <t>HALLANDS LÄN</t>
        </is>
      </c>
      <c r="E195" t="inlineStr">
        <is>
          <t>KUNGSBACKA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3163-2023</t>
        </is>
      </c>
      <c r="B196" s="1" t="n">
        <v>44946</v>
      </c>
      <c r="C196" s="1" t="n">
        <v>45718</v>
      </c>
      <c r="D196" t="inlineStr">
        <is>
          <t>HALLANDS LÄN</t>
        </is>
      </c>
      <c r="E196" t="inlineStr">
        <is>
          <t>KUNGSBACKA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6978-2023</t>
        </is>
      </c>
      <c r="B197" s="1" t="n">
        <v>44967</v>
      </c>
      <c r="C197" s="1" t="n">
        <v>45718</v>
      </c>
      <c r="D197" t="inlineStr">
        <is>
          <t>HALLANDS LÄN</t>
        </is>
      </c>
      <c r="E197" t="inlineStr">
        <is>
          <t>KUNGSBACKA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7304-2023</t>
        </is>
      </c>
      <c r="B198" s="1" t="n">
        <v>44970</v>
      </c>
      <c r="C198" s="1" t="n">
        <v>45718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7217-2023</t>
        </is>
      </c>
      <c r="B199" s="1" t="n">
        <v>44970</v>
      </c>
      <c r="C199" s="1" t="n">
        <v>45718</v>
      </c>
      <c r="D199" t="inlineStr">
        <is>
          <t>HALLANDS LÄN</t>
        </is>
      </c>
      <c r="E199" t="inlineStr">
        <is>
          <t>KUNGSBACKA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7335-2023</t>
        </is>
      </c>
      <c r="B200" s="1" t="n">
        <v>44971</v>
      </c>
      <c r="C200" s="1" t="n">
        <v>45718</v>
      </c>
      <c r="D200" t="inlineStr">
        <is>
          <t>HALLANDS LÄN</t>
        </is>
      </c>
      <c r="E200" t="inlineStr">
        <is>
          <t>KUNGSBACKA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7995-2023</t>
        </is>
      </c>
      <c r="B201" s="1" t="n">
        <v>44973</v>
      </c>
      <c r="C201" s="1" t="n">
        <v>45718</v>
      </c>
      <c r="D201" t="inlineStr">
        <is>
          <t>HALLANDS LÄN</t>
        </is>
      </c>
      <c r="E201" t="inlineStr">
        <is>
          <t>KUNGSBACKA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9007-2023</t>
        </is>
      </c>
      <c r="B202" s="1" t="n">
        <v>44979</v>
      </c>
      <c r="C202" s="1" t="n">
        <v>45718</v>
      </c>
      <c r="D202" t="inlineStr">
        <is>
          <t>HALLANDS LÄN</t>
        </is>
      </c>
      <c r="E202" t="inlineStr">
        <is>
          <t>KUNGSBACKA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9415-2023</t>
        </is>
      </c>
      <c r="B203" s="1" t="n">
        <v>44981</v>
      </c>
      <c r="C203" s="1" t="n">
        <v>45718</v>
      </c>
      <c r="D203" t="inlineStr">
        <is>
          <t>HALLANDS LÄN</t>
        </is>
      </c>
      <c r="E203" t="inlineStr">
        <is>
          <t>KUNGSBACKA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9419-2023</t>
        </is>
      </c>
      <c r="B204" s="1" t="n">
        <v>44981</v>
      </c>
      <c r="C204" s="1" t="n">
        <v>45718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9404-2023</t>
        </is>
      </c>
      <c r="B205" s="1" t="n">
        <v>44981</v>
      </c>
      <c r="C205" s="1" t="n">
        <v>45718</v>
      </c>
      <c r="D205" t="inlineStr">
        <is>
          <t>HALLANDS LÄN</t>
        </is>
      </c>
      <c r="E205" t="inlineStr">
        <is>
          <t>KUNGSBACKA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9417-2023</t>
        </is>
      </c>
      <c r="B206" s="1" t="n">
        <v>44981</v>
      </c>
      <c r="C206" s="1" t="n">
        <v>45718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10269-2023</t>
        </is>
      </c>
      <c r="B207" s="1" t="n">
        <v>44986</v>
      </c>
      <c r="C207" s="1" t="n">
        <v>45718</v>
      </c>
      <c r="D207" t="inlineStr">
        <is>
          <t>HALLANDS LÄN</t>
        </is>
      </c>
      <c r="E207" t="inlineStr">
        <is>
          <t>KUNGSBACKA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11068-2023</t>
        </is>
      </c>
      <c r="B208" s="1" t="n">
        <v>44992</v>
      </c>
      <c r="C208" s="1" t="n">
        <v>45718</v>
      </c>
      <c r="D208" t="inlineStr">
        <is>
          <t>HALLANDS LÄN</t>
        </is>
      </c>
      <c r="E208" t="inlineStr">
        <is>
          <t>KUNGSBACKA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11069-2023</t>
        </is>
      </c>
      <c r="B209" s="1" t="n">
        <v>44992</v>
      </c>
      <c r="C209" s="1" t="n">
        <v>45718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11086-2023</t>
        </is>
      </c>
      <c r="B210" s="1" t="n">
        <v>44992</v>
      </c>
      <c r="C210" s="1" t="n">
        <v>45718</v>
      </c>
      <c r="D210" t="inlineStr">
        <is>
          <t>HALLANDS LÄN</t>
        </is>
      </c>
      <c r="E210" t="inlineStr">
        <is>
          <t>KUNGSBACKA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11097-2023</t>
        </is>
      </c>
      <c r="B211" s="1" t="n">
        <v>44992</v>
      </c>
      <c r="C211" s="1" t="n">
        <v>45718</v>
      </c>
      <c r="D211" t="inlineStr">
        <is>
          <t>HALLANDS LÄN</t>
        </is>
      </c>
      <c r="E211" t="inlineStr">
        <is>
          <t>KUNGSBACKA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11961-2023</t>
        </is>
      </c>
      <c r="B212" s="1" t="n">
        <v>44994</v>
      </c>
      <c r="C212" s="1" t="n">
        <v>45718</v>
      </c>
      <c r="D212" t="inlineStr">
        <is>
          <t>HALLANDS LÄN</t>
        </is>
      </c>
      <c r="E212" t="inlineStr">
        <is>
          <t>KUNGSBACKA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11958-2023</t>
        </is>
      </c>
      <c r="B213" s="1" t="n">
        <v>44994</v>
      </c>
      <c r="C213" s="1" t="n">
        <v>45718</v>
      </c>
      <c r="D213" t="inlineStr">
        <is>
          <t>HALLANDS LÄN</t>
        </is>
      </c>
      <c r="E213" t="inlineStr">
        <is>
          <t>KUNGSBACKA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12064-2023</t>
        </is>
      </c>
      <c r="B214" s="1" t="n">
        <v>44997</v>
      </c>
      <c r="C214" s="1" t="n">
        <v>45718</v>
      </c>
      <c r="D214" t="inlineStr">
        <is>
          <t>HALLANDS LÄN</t>
        </is>
      </c>
      <c r="E214" t="inlineStr">
        <is>
          <t>KUNGSBACKA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12400-2023</t>
        </is>
      </c>
      <c r="B215" s="1" t="n">
        <v>44999</v>
      </c>
      <c r="C215" s="1" t="n">
        <v>45718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12320-2023</t>
        </is>
      </c>
      <c r="B216" s="1" t="n">
        <v>44999</v>
      </c>
      <c r="C216" s="1" t="n">
        <v>45718</v>
      </c>
      <c r="D216" t="inlineStr">
        <is>
          <t>HALLANDS LÄN</t>
        </is>
      </c>
      <c r="E216" t="inlineStr">
        <is>
          <t>KUNGSBACKA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12404-2023</t>
        </is>
      </c>
      <c r="B217" s="1" t="n">
        <v>44999</v>
      </c>
      <c r="C217" s="1" t="n">
        <v>45718</v>
      </c>
      <c r="D217" t="inlineStr">
        <is>
          <t>HALLANDS LÄN</t>
        </is>
      </c>
      <c r="E217" t="inlineStr">
        <is>
          <t>KUNGSBACKA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14052-2023</t>
        </is>
      </c>
      <c r="B218" s="1" t="n">
        <v>45008</v>
      </c>
      <c r="C218" s="1" t="n">
        <v>45718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14898-2023</t>
        </is>
      </c>
      <c r="B219" s="1" t="n">
        <v>45014</v>
      </c>
      <c r="C219" s="1" t="n">
        <v>45718</v>
      </c>
      <c r="D219" t="inlineStr">
        <is>
          <t>HALLANDS LÄN</t>
        </is>
      </c>
      <c r="E219" t="inlineStr">
        <is>
          <t>KUNGSBACKA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15715-2023</t>
        </is>
      </c>
      <c r="B220" s="1" t="n">
        <v>45021</v>
      </c>
      <c r="C220" s="1" t="n">
        <v>45718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16109-2023</t>
        </is>
      </c>
      <c r="B221" s="1" t="n">
        <v>45027</v>
      </c>
      <c r="C221" s="1" t="n">
        <v>45718</v>
      </c>
      <c r="D221" t="inlineStr">
        <is>
          <t>HALLANDS LÄN</t>
        </is>
      </c>
      <c r="E221" t="inlineStr">
        <is>
          <t>KUNGSBACKA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16271-2023</t>
        </is>
      </c>
      <c r="B222" s="1" t="n">
        <v>45028</v>
      </c>
      <c r="C222" s="1" t="n">
        <v>45718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16230-2023</t>
        </is>
      </c>
      <c r="B223" s="1" t="n">
        <v>45028</v>
      </c>
      <c r="C223" s="1" t="n">
        <v>45718</v>
      </c>
      <c r="D223" t="inlineStr">
        <is>
          <t>HALLANDS LÄN</t>
        </is>
      </c>
      <c r="E223" t="inlineStr">
        <is>
          <t>KUNGSBACKA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16426-2023</t>
        </is>
      </c>
      <c r="B224" s="1" t="n">
        <v>45029</v>
      </c>
      <c r="C224" s="1" t="n">
        <v>45718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17401-2023</t>
        </is>
      </c>
      <c r="B225" s="1" t="n">
        <v>45035</v>
      </c>
      <c r="C225" s="1" t="n">
        <v>45718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17621-2023</t>
        </is>
      </c>
      <c r="B226" s="1" t="n">
        <v>45036</v>
      </c>
      <c r="C226" s="1" t="n">
        <v>45718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18545-2023</t>
        </is>
      </c>
      <c r="B227" s="1" t="n">
        <v>45042</v>
      </c>
      <c r="C227" s="1" t="n">
        <v>45718</v>
      </c>
      <c r="D227" t="inlineStr">
        <is>
          <t>HALLANDS LÄN</t>
        </is>
      </c>
      <c r="E227" t="inlineStr">
        <is>
          <t>KUNGSBACKA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18547-2023</t>
        </is>
      </c>
      <c r="B228" s="1" t="n">
        <v>45042</v>
      </c>
      <c r="C228" s="1" t="n">
        <v>45718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18546-2023</t>
        </is>
      </c>
      <c r="B229" s="1" t="n">
        <v>45042</v>
      </c>
      <c r="C229" s="1" t="n">
        <v>45718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18579-2023</t>
        </is>
      </c>
      <c r="B230" s="1" t="n">
        <v>45043</v>
      </c>
      <c r="C230" s="1" t="n">
        <v>45718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18578-2023</t>
        </is>
      </c>
      <c r="B231" s="1" t="n">
        <v>45043</v>
      </c>
      <c r="C231" s="1" t="n">
        <v>45718</v>
      </c>
      <c r="D231" t="inlineStr">
        <is>
          <t>HALLANDS LÄN</t>
        </is>
      </c>
      <c r="E231" t="inlineStr">
        <is>
          <t>KUNGSBACKA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21163-2023</t>
        </is>
      </c>
      <c r="B232" s="1" t="n">
        <v>45062</v>
      </c>
      <c r="C232" s="1" t="n">
        <v>45718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21169-2023</t>
        </is>
      </c>
      <c r="B233" s="1" t="n">
        <v>45062</v>
      </c>
      <c r="C233" s="1" t="n">
        <v>45718</v>
      </c>
      <c r="D233" t="inlineStr">
        <is>
          <t>HALLANDS LÄN</t>
        </is>
      </c>
      <c r="E233" t="inlineStr">
        <is>
          <t>KUNGSBACKA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21165-2023</t>
        </is>
      </c>
      <c r="B234" s="1" t="n">
        <v>45062</v>
      </c>
      <c r="C234" s="1" t="n">
        <v>45718</v>
      </c>
      <c r="D234" t="inlineStr">
        <is>
          <t>HALLANDS LÄN</t>
        </is>
      </c>
      <c r="E234" t="inlineStr">
        <is>
          <t>KUNGSBACKA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21171-2023</t>
        </is>
      </c>
      <c r="B235" s="1" t="n">
        <v>45062</v>
      </c>
      <c r="C235" s="1" t="n">
        <v>45718</v>
      </c>
      <c r="D235" t="inlineStr">
        <is>
          <t>HALLANDS LÄN</t>
        </is>
      </c>
      <c r="E235" t="inlineStr">
        <is>
          <t>KUNGSBACKA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21306-2023</t>
        </is>
      </c>
      <c r="B236" s="1" t="n">
        <v>45062</v>
      </c>
      <c r="C236" s="1" t="n">
        <v>45718</v>
      </c>
      <c r="D236" t="inlineStr">
        <is>
          <t>HALLANDS LÄN</t>
        </is>
      </c>
      <c r="E236" t="inlineStr">
        <is>
          <t>KUNGSBACKA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21721-2023</t>
        </is>
      </c>
      <c r="B237" s="1" t="n">
        <v>45065</v>
      </c>
      <c r="C237" s="1" t="n">
        <v>45718</v>
      </c>
      <c r="D237" t="inlineStr">
        <is>
          <t>HALLANDS LÄN</t>
        </is>
      </c>
      <c r="E237" t="inlineStr">
        <is>
          <t>KUNGSBACKA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22589-2023</t>
        </is>
      </c>
      <c r="B238" s="1" t="n">
        <v>45071</v>
      </c>
      <c r="C238" s="1" t="n">
        <v>45718</v>
      </c>
      <c r="D238" t="inlineStr">
        <is>
          <t>HALLANDS LÄN</t>
        </is>
      </c>
      <c r="E238" t="inlineStr">
        <is>
          <t>KUNGSBACKA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22594-2023</t>
        </is>
      </c>
      <c r="B239" s="1" t="n">
        <v>45071</v>
      </c>
      <c r="C239" s="1" t="n">
        <v>45718</v>
      </c>
      <c r="D239" t="inlineStr">
        <is>
          <t>HALLANDS LÄN</t>
        </is>
      </c>
      <c r="E239" t="inlineStr">
        <is>
          <t>KUNGSBACKA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23844-2023</t>
        </is>
      </c>
      <c r="B240" s="1" t="n">
        <v>45078</v>
      </c>
      <c r="C240" s="1" t="n">
        <v>45718</v>
      </c>
      <c r="D240" t="inlineStr">
        <is>
          <t>HALLANDS LÄN</t>
        </is>
      </c>
      <c r="E240" t="inlineStr">
        <is>
          <t>KUNGSBACKA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23994-2023</t>
        </is>
      </c>
      <c r="B241" s="1" t="n">
        <v>45078</v>
      </c>
      <c r="C241" s="1" t="n">
        <v>45718</v>
      </c>
      <c r="D241" t="inlineStr">
        <is>
          <t>HALLANDS LÄN</t>
        </is>
      </c>
      <c r="E241" t="inlineStr">
        <is>
          <t>KUNGSBACKA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26159-2023</t>
        </is>
      </c>
      <c r="B242" s="1" t="n">
        <v>45091</v>
      </c>
      <c r="C242" s="1" t="n">
        <v>45718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26150-2023</t>
        </is>
      </c>
      <c r="B243" s="1" t="n">
        <v>45091</v>
      </c>
      <c r="C243" s="1" t="n">
        <v>45718</v>
      </c>
      <c r="D243" t="inlineStr">
        <is>
          <t>HALLANDS LÄN</t>
        </is>
      </c>
      <c r="E243" t="inlineStr">
        <is>
          <t>KUNGSBACKA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26155-2023</t>
        </is>
      </c>
      <c r="B244" s="1" t="n">
        <v>45091</v>
      </c>
      <c r="C244" s="1" t="n">
        <v>45718</v>
      </c>
      <c r="D244" t="inlineStr">
        <is>
          <t>HALLANDS LÄN</t>
        </is>
      </c>
      <c r="E244" t="inlineStr">
        <is>
          <t>KUNGSBACKA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26145-2023</t>
        </is>
      </c>
      <c r="B245" s="1" t="n">
        <v>45091</v>
      </c>
      <c r="C245" s="1" t="n">
        <v>45718</v>
      </c>
      <c r="D245" t="inlineStr">
        <is>
          <t>HALLANDS LÄN</t>
        </is>
      </c>
      <c r="E245" t="inlineStr">
        <is>
          <t>KUNGSBACKA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26148-2023</t>
        </is>
      </c>
      <c r="B246" s="1" t="n">
        <v>45091</v>
      </c>
      <c r="C246" s="1" t="n">
        <v>45718</v>
      </c>
      <c r="D246" t="inlineStr">
        <is>
          <t>HALLANDS LÄN</t>
        </is>
      </c>
      <c r="E246" t="inlineStr">
        <is>
          <t>KUNGSBACKA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26566-2023</t>
        </is>
      </c>
      <c r="B247" s="1" t="n">
        <v>45092</v>
      </c>
      <c r="C247" s="1" t="n">
        <v>45718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27290-2023</t>
        </is>
      </c>
      <c r="B248" s="1" t="n">
        <v>45096</v>
      </c>
      <c r="C248" s="1" t="n">
        <v>45718</v>
      </c>
      <c r="D248" t="inlineStr">
        <is>
          <t>HALLANDS LÄN</t>
        </is>
      </c>
      <c r="E248" t="inlineStr">
        <is>
          <t>KUNGSBACKA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27295-2023</t>
        </is>
      </c>
      <c r="B249" s="1" t="n">
        <v>45096</v>
      </c>
      <c r="C249" s="1" t="n">
        <v>45718</v>
      </c>
      <c r="D249" t="inlineStr">
        <is>
          <t>HALLANDS LÄN</t>
        </is>
      </c>
      <c r="E249" t="inlineStr">
        <is>
          <t>KUNGSBACKA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27301-2023</t>
        </is>
      </c>
      <c r="B250" s="1" t="n">
        <v>45096</v>
      </c>
      <c r="C250" s="1" t="n">
        <v>45718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27278-2023</t>
        </is>
      </c>
      <c r="B251" s="1" t="n">
        <v>45096</v>
      </c>
      <c r="C251" s="1" t="n">
        <v>45718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27287-2023</t>
        </is>
      </c>
      <c r="B252" s="1" t="n">
        <v>45096</v>
      </c>
      <c r="C252" s="1" t="n">
        <v>45718</v>
      </c>
      <c r="D252" t="inlineStr">
        <is>
          <t>HALLANDS LÄN</t>
        </is>
      </c>
      <c r="E252" t="inlineStr">
        <is>
          <t>KUNGSBACKA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29237-2023</t>
        </is>
      </c>
      <c r="B253" s="1" t="n">
        <v>45097</v>
      </c>
      <c r="C253" s="1" t="n">
        <v>45718</v>
      </c>
      <c r="D253" t="inlineStr">
        <is>
          <t>HALLANDS LÄN</t>
        </is>
      </c>
      <c r="E253" t="inlineStr">
        <is>
          <t>KUNGSBACKA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28036-2023</t>
        </is>
      </c>
      <c r="B254" s="1" t="n">
        <v>45099</v>
      </c>
      <c r="C254" s="1" t="n">
        <v>45718</v>
      </c>
      <c r="D254" t="inlineStr">
        <is>
          <t>HALLANDS LÄN</t>
        </is>
      </c>
      <c r="E254" t="inlineStr">
        <is>
          <t>KUNGSBACKA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28611-2023</t>
        </is>
      </c>
      <c r="B255" s="1" t="n">
        <v>45103</v>
      </c>
      <c r="C255" s="1" t="n">
        <v>45718</v>
      </c>
      <c r="D255" t="inlineStr">
        <is>
          <t>HALLANDS LÄN</t>
        </is>
      </c>
      <c r="E255" t="inlineStr">
        <is>
          <t>KUNGSBACKA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28608-2023</t>
        </is>
      </c>
      <c r="B256" s="1" t="n">
        <v>45103</v>
      </c>
      <c r="C256" s="1" t="n">
        <v>45718</v>
      </c>
      <c r="D256" t="inlineStr">
        <is>
          <t>HALLANDS LÄN</t>
        </is>
      </c>
      <c r="E256" t="inlineStr">
        <is>
          <t>KUNGSBACKA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28610-2023</t>
        </is>
      </c>
      <c r="B257" s="1" t="n">
        <v>45103</v>
      </c>
      <c r="C257" s="1" t="n">
        <v>45718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30716-2023</t>
        </is>
      </c>
      <c r="B258" s="1" t="n">
        <v>45112</v>
      </c>
      <c r="C258" s="1" t="n">
        <v>45718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30996-2023</t>
        </is>
      </c>
      <c r="B259" s="1" t="n">
        <v>45113</v>
      </c>
      <c r="C259" s="1" t="n">
        <v>45718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31000-2023</t>
        </is>
      </c>
      <c r="B260" s="1" t="n">
        <v>45113</v>
      </c>
      <c r="C260" s="1" t="n">
        <v>45718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31087-2023</t>
        </is>
      </c>
      <c r="B261" s="1" t="n">
        <v>45113</v>
      </c>
      <c r="C261" s="1" t="n">
        <v>45718</v>
      </c>
      <c r="D261" t="inlineStr">
        <is>
          <t>HALLANDS LÄN</t>
        </is>
      </c>
      <c r="E261" t="inlineStr">
        <is>
          <t>KUNGSBACKA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31885-2023</t>
        </is>
      </c>
      <c r="B262" s="1" t="n">
        <v>45118</v>
      </c>
      <c r="C262" s="1" t="n">
        <v>45718</v>
      </c>
      <c r="D262" t="inlineStr">
        <is>
          <t>HALLANDS LÄN</t>
        </is>
      </c>
      <c r="E262" t="inlineStr">
        <is>
          <t>KUNGSBACKA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32178-2023</t>
        </is>
      </c>
      <c r="B263" s="1" t="n">
        <v>45119</v>
      </c>
      <c r="C263" s="1" t="n">
        <v>45718</v>
      </c>
      <c r="D263" t="inlineStr">
        <is>
          <t>HALLANDS LÄN</t>
        </is>
      </c>
      <c r="E263" t="inlineStr">
        <is>
          <t>KUNGSBACKA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33494-2023</t>
        </is>
      </c>
      <c r="B264" s="1" t="n">
        <v>45131</v>
      </c>
      <c r="C264" s="1" t="n">
        <v>45718</v>
      </c>
      <c r="D264" t="inlineStr">
        <is>
          <t>HALLANDS LÄN</t>
        </is>
      </c>
      <c r="E264" t="inlineStr">
        <is>
          <t>KUNGSBACKA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33496-2023</t>
        </is>
      </c>
      <c r="B265" s="1" t="n">
        <v>45131</v>
      </c>
      <c r="C265" s="1" t="n">
        <v>45718</v>
      </c>
      <c r="D265" t="inlineStr">
        <is>
          <t>HALLANDS LÄN</t>
        </is>
      </c>
      <c r="E265" t="inlineStr">
        <is>
          <t>KUNGSBACKA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33983-2023</t>
        </is>
      </c>
      <c r="B266" s="1" t="n">
        <v>45134</v>
      </c>
      <c r="C266" s="1" t="n">
        <v>45718</v>
      </c>
      <c r="D266" t="inlineStr">
        <is>
          <t>HALLANDS LÄN</t>
        </is>
      </c>
      <c r="E266" t="inlineStr">
        <is>
          <t>KUNGSBACKA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36026-2023</t>
        </is>
      </c>
      <c r="B267" s="1" t="n">
        <v>45149</v>
      </c>
      <c r="C267" s="1" t="n">
        <v>45718</v>
      </c>
      <c r="D267" t="inlineStr">
        <is>
          <t>HALLANDS LÄN</t>
        </is>
      </c>
      <c r="E267" t="inlineStr">
        <is>
          <t>KUNGSBACKA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36068-2023</t>
        </is>
      </c>
      <c r="B268" s="1" t="n">
        <v>45149</v>
      </c>
      <c r="C268" s="1" t="n">
        <v>45718</v>
      </c>
      <c r="D268" t="inlineStr">
        <is>
          <t>HALLANDS LÄN</t>
        </is>
      </c>
      <c r="E268" t="inlineStr">
        <is>
          <t>KUNGSBACKA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36597-2023</t>
        </is>
      </c>
      <c r="B269" s="1" t="n">
        <v>45153</v>
      </c>
      <c r="C269" s="1" t="n">
        <v>45718</v>
      </c>
      <c r="D269" t="inlineStr">
        <is>
          <t>HALLANDS LÄN</t>
        </is>
      </c>
      <c r="E269" t="inlineStr">
        <is>
          <t>KUNGSBACKA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37380-2023</t>
        </is>
      </c>
      <c r="B270" s="1" t="n">
        <v>45156</v>
      </c>
      <c r="C270" s="1" t="n">
        <v>45718</v>
      </c>
      <c r="D270" t="inlineStr">
        <is>
          <t>HALLANDS LÄN</t>
        </is>
      </c>
      <c r="E270" t="inlineStr">
        <is>
          <t>KUNGSBACKA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37823-2023</t>
        </is>
      </c>
      <c r="B271" s="1" t="n">
        <v>45160</v>
      </c>
      <c r="C271" s="1" t="n">
        <v>45718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38284-2023</t>
        </is>
      </c>
      <c r="B272" s="1" t="n">
        <v>45161</v>
      </c>
      <c r="C272" s="1" t="n">
        <v>45718</v>
      </c>
      <c r="D272" t="inlineStr">
        <is>
          <t>HALLANDS LÄN</t>
        </is>
      </c>
      <c r="E272" t="inlineStr">
        <is>
          <t>KUNGSBACKA</t>
        </is>
      </c>
      <c r="G272" t="n">
        <v>19.4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43526-2023</t>
        </is>
      </c>
      <c r="B273" s="1" t="n">
        <v>45184</v>
      </c>
      <c r="C273" s="1" t="n">
        <v>45718</v>
      </c>
      <c r="D273" t="inlineStr">
        <is>
          <t>HALLANDS LÄN</t>
        </is>
      </c>
      <c r="E273" t="inlineStr">
        <is>
          <t>KUNGSBACKA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44353-2023</t>
        </is>
      </c>
      <c r="B274" s="1" t="n">
        <v>45188</v>
      </c>
      <c r="C274" s="1" t="n">
        <v>45718</v>
      </c>
      <c r="D274" t="inlineStr">
        <is>
          <t>HALLANDS LÄN</t>
        </is>
      </c>
      <c r="E274" t="inlineStr">
        <is>
          <t>KUNGSBACKA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44528-2023</t>
        </is>
      </c>
      <c r="B275" s="1" t="n">
        <v>45189</v>
      </c>
      <c r="C275" s="1" t="n">
        <v>45718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44666-2023</t>
        </is>
      </c>
      <c r="B276" s="1" t="n">
        <v>45189</v>
      </c>
      <c r="C276" s="1" t="n">
        <v>45718</v>
      </c>
      <c r="D276" t="inlineStr">
        <is>
          <t>HALLANDS LÄN</t>
        </is>
      </c>
      <c r="E276" t="inlineStr">
        <is>
          <t>KUNGSBACKA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44931-2023</t>
        </is>
      </c>
      <c r="B277" s="1" t="n">
        <v>45190</v>
      </c>
      <c r="C277" s="1" t="n">
        <v>45718</v>
      </c>
      <c r="D277" t="inlineStr">
        <is>
          <t>HALLANDS LÄN</t>
        </is>
      </c>
      <c r="E277" t="inlineStr">
        <is>
          <t>KUNGSBACKA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47395-2023</t>
        </is>
      </c>
      <c r="B278" s="1" t="n">
        <v>45202</v>
      </c>
      <c r="C278" s="1" t="n">
        <v>45718</v>
      </c>
      <c r="D278" t="inlineStr">
        <is>
          <t>HALLANDS LÄN</t>
        </is>
      </c>
      <c r="E278" t="inlineStr">
        <is>
          <t>KUNGSBACKA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47393-2023</t>
        </is>
      </c>
      <c r="B279" s="1" t="n">
        <v>45202</v>
      </c>
      <c r="C279" s="1" t="n">
        <v>45718</v>
      </c>
      <c r="D279" t="inlineStr">
        <is>
          <t>HALLANDS LÄN</t>
        </is>
      </c>
      <c r="E279" t="inlineStr">
        <is>
          <t>KUNGSBACKA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47362-2023</t>
        </is>
      </c>
      <c r="B280" s="1" t="n">
        <v>45202</v>
      </c>
      <c r="C280" s="1" t="n">
        <v>45718</v>
      </c>
      <c r="D280" t="inlineStr">
        <is>
          <t>HALLANDS LÄN</t>
        </is>
      </c>
      <c r="E280" t="inlineStr">
        <is>
          <t>KUNGSBACKA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47832-2023</t>
        </is>
      </c>
      <c r="B281" s="1" t="n">
        <v>45204</v>
      </c>
      <c r="C281" s="1" t="n">
        <v>45718</v>
      </c>
      <c r="D281" t="inlineStr">
        <is>
          <t>HALLANDS LÄN</t>
        </is>
      </c>
      <c r="E281" t="inlineStr">
        <is>
          <t>KUNGSBACKA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48406-2023</t>
        </is>
      </c>
      <c r="B282" s="1" t="n">
        <v>45205</v>
      </c>
      <c r="C282" s="1" t="n">
        <v>45718</v>
      </c>
      <c r="D282" t="inlineStr">
        <is>
          <t>HALLANDS LÄN</t>
        </is>
      </c>
      <c r="E282" t="inlineStr">
        <is>
          <t>KUNGSBACKA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48754-2023</t>
        </is>
      </c>
      <c r="B283" s="1" t="n">
        <v>45208</v>
      </c>
      <c r="C283" s="1" t="n">
        <v>45718</v>
      </c>
      <c r="D283" t="inlineStr">
        <is>
          <t>HALLANDS LÄN</t>
        </is>
      </c>
      <c r="E283" t="inlineStr">
        <is>
          <t>KUNGSBACKA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51316-2023</t>
        </is>
      </c>
      <c r="B284" s="1" t="n">
        <v>45219</v>
      </c>
      <c r="C284" s="1" t="n">
        <v>45718</v>
      </c>
      <c r="D284" t="inlineStr">
        <is>
          <t>HALLANDS LÄN</t>
        </is>
      </c>
      <c r="E284" t="inlineStr">
        <is>
          <t>KUNGSBACKA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55502-2023</t>
        </is>
      </c>
      <c r="B285" s="1" t="n">
        <v>45238</v>
      </c>
      <c r="C285" s="1" t="n">
        <v>45718</v>
      </c>
      <c r="D285" t="inlineStr">
        <is>
          <t>HALLANDS LÄN</t>
        </is>
      </c>
      <c r="E285" t="inlineStr">
        <is>
          <t>KUNGSBACKA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56293-2023</t>
        </is>
      </c>
      <c r="B286" s="1" t="n">
        <v>45242</v>
      </c>
      <c r="C286" s="1" t="n">
        <v>45718</v>
      </c>
      <c r="D286" t="inlineStr">
        <is>
          <t>HALLANDS LÄN</t>
        </is>
      </c>
      <c r="E286" t="inlineStr">
        <is>
          <t>KUNGSBACKA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56294-2023</t>
        </is>
      </c>
      <c r="B287" s="1" t="n">
        <v>45242</v>
      </c>
      <c r="C287" s="1" t="n">
        <v>45718</v>
      </c>
      <c r="D287" t="inlineStr">
        <is>
          <t>HALLANDS LÄN</t>
        </is>
      </c>
      <c r="E287" t="inlineStr">
        <is>
          <t>KUNGSBACKA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56605-2023</t>
        </is>
      </c>
      <c r="B288" s="1" t="n">
        <v>45243</v>
      </c>
      <c r="C288" s="1" t="n">
        <v>45718</v>
      </c>
      <c r="D288" t="inlineStr">
        <is>
          <t>HALLANDS LÄN</t>
        </is>
      </c>
      <c r="E288" t="inlineStr">
        <is>
          <t>KUNGSBACKA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57709-2023</t>
        </is>
      </c>
      <c r="B289" s="1" t="n">
        <v>45246</v>
      </c>
      <c r="C289" s="1" t="n">
        <v>45718</v>
      </c>
      <c r="D289" t="inlineStr">
        <is>
          <t>HALLANDS LÄN</t>
        </is>
      </c>
      <c r="E289" t="inlineStr">
        <is>
          <t>KUNGSBACKA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59340-2023</t>
        </is>
      </c>
      <c r="B290" s="1" t="n">
        <v>45253</v>
      </c>
      <c r="C290" s="1" t="n">
        <v>45718</v>
      </c>
      <c r="D290" t="inlineStr">
        <is>
          <t>HALLANDS LÄN</t>
        </is>
      </c>
      <c r="E290" t="inlineStr">
        <is>
          <t>KUNGSBACKA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59348-2023</t>
        </is>
      </c>
      <c r="B291" s="1" t="n">
        <v>45253</v>
      </c>
      <c r="C291" s="1" t="n">
        <v>45718</v>
      </c>
      <c r="D291" t="inlineStr">
        <is>
          <t>HALLANDS LÄN</t>
        </is>
      </c>
      <c r="E291" t="inlineStr">
        <is>
          <t>KUNGSBACKA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59315-2023</t>
        </is>
      </c>
      <c r="B292" s="1" t="n">
        <v>45253</v>
      </c>
      <c r="C292" s="1" t="n">
        <v>45718</v>
      </c>
      <c r="D292" t="inlineStr">
        <is>
          <t>HALLANDS LÄN</t>
        </is>
      </c>
      <c r="E292" t="inlineStr">
        <is>
          <t>KUNGSBACKA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59342-2023</t>
        </is>
      </c>
      <c r="B293" s="1" t="n">
        <v>45253</v>
      </c>
      <c r="C293" s="1" t="n">
        <v>45718</v>
      </c>
      <c r="D293" t="inlineStr">
        <is>
          <t>HALLANDS LÄN</t>
        </is>
      </c>
      <c r="E293" t="inlineStr">
        <is>
          <t>KUNGSBACKA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61741-2023</t>
        </is>
      </c>
      <c r="B294" s="1" t="n">
        <v>45265</v>
      </c>
      <c r="C294" s="1" t="n">
        <v>45718</v>
      </c>
      <c r="D294" t="inlineStr">
        <is>
          <t>HALLANDS LÄN</t>
        </is>
      </c>
      <c r="E294" t="inlineStr">
        <is>
          <t>KUNGSBACKA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61739-2023</t>
        </is>
      </c>
      <c r="B295" s="1" t="n">
        <v>45265</v>
      </c>
      <c r="C295" s="1" t="n">
        <v>45718</v>
      </c>
      <c r="D295" t="inlineStr">
        <is>
          <t>HALLANDS LÄN</t>
        </is>
      </c>
      <c r="E295" t="inlineStr">
        <is>
          <t>KUNGSBACKA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61744-2023</t>
        </is>
      </c>
      <c r="B296" s="1" t="n">
        <v>45265</v>
      </c>
      <c r="C296" s="1" t="n">
        <v>45718</v>
      </c>
      <c r="D296" t="inlineStr">
        <is>
          <t>HALLANDS LÄN</t>
        </is>
      </c>
      <c r="E296" t="inlineStr">
        <is>
          <t>KUNGSBACKA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63104-2023</t>
        </is>
      </c>
      <c r="B297" s="1" t="n">
        <v>45273</v>
      </c>
      <c r="C297" s="1" t="n">
        <v>45718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63598-2023</t>
        </is>
      </c>
      <c r="B298" s="1" t="n">
        <v>45275</v>
      </c>
      <c r="C298" s="1" t="n">
        <v>45718</v>
      </c>
      <c r="D298" t="inlineStr">
        <is>
          <t>HALLANDS LÄN</t>
        </is>
      </c>
      <c r="E298" t="inlineStr">
        <is>
          <t>KUNGSBACKA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64363-2023</t>
        </is>
      </c>
      <c r="B299" s="1" t="n">
        <v>45280</v>
      </c>
      <c r="C299" s="1" t="n">
        <v>45718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65199-2023</t>
        </is>
      </c>
      <c r="B300" s="1" t="n">
        <v>45288</v>
      </c>
      <c r="C300" s="1" t="n">
        <v>45718</v>
      </c>
      <c r="D300" t="inlineStr">
        <is>
          <t>HALLANDS LÄN</t>
        </is>
      </c>
      <c r="E300" t="inlineStr">
        <is>
          <t>KUNGSBACKA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2013-2024</t>
        </is>
      </c>
      <c r="B301" s="1" t="n">
        <v>45308</v>
      </c>
      <c r="C301" s="1" t="n">
        <v>45718</v>
      </c>
      <c r="D301" t="inlineStr">
        <is>
          <t>HALLANDS LÄN</t>
        </is>
      </c>
      <c r="E301" t="inlineStr">
        <is>
          <t>KUNGSBACKA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2012-2024</t>
        </is>
      </c>
      <c r="B302" s="1" t="n">
        <v>45308</v>
      </c>
      <c r="C302" s="1" t="n">
        <v>45718</v>
      </c>
      <c r="D302" t="inlineStr">
        <is>
          <t>HALLANDS LÄN</t>
        </is>
      </c>
      <c r="E302" t="inlineStr">
        <is>
          <t>KUNGSBACKA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2817-2024</t>
        </is>
      </c>
      <c r="B303" s="1" t="n">
        <v>45314</v>
      </c>
      <c r="C303" s="1" t="n">
        <v>45718</v>
      </c>
      <c r="D303" t="inlineStr">
        <is>
          <t>HALLANDS LÄN</t>
        </is>
      </c>
      <c r="E303" t="inlineStr">
        <is>
          <t>KUNGSBACKA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2990-2024</t>
        </is>
      </c>
      <c r="B304" s="1" t="n">
        <v>45315</v>
      </c>
      <c r="C304" s="1" t="n">
        <v>45718</v>
      </c>
      <c r="D304" t="inlineStr">
        <is>
          <t>HALLANDS LÄN</t>
        </is>
      </c>
      <c r="E304" t="inlineStr">
        <is>
          <t>KUNGSBACKA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4144-2024</t>
        </is>
      </c>
      <c r="B305" s="1" t="n">
        <v>45323</v>
      </c>
      <c r="C305" s="1" t="n">
        <v>45718</v>
      </c>
      <c r="D305" t="inlineStr">
        <is>
          <t>HALLANDS LÄN</t>
        </is>
      </c>
      <c r="E305" t="inlineStr">
        <is>
          <t>KUNGSBACKA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4145-2024</t>
        </is>
      </c>
      <c r="B306" s="1" t="n">
        <v>45323</v>
      </c>
      <c r="C306" s="1" t="n">
        <v>45718</v>
      </c>
      <c r="D306" t="inlineStr">
        <is>
          <t>HALLANDS LÄN</t>
        </is>
      </c>
      <c r="E306" t="inlineStr">
        <is>
          <t>KUNGSBACKA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4335-2024</t>
        </is>
      </c>
      <c r="B307" s="1" t="n">
        <v>45324</v>
      </c>
      <c r="C307" s="1" t="n">
        <v>45718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4960-2024</t>
        </is>
      </c>
      <c r="B308" s="1" t="n">
        <v>45329</v>
      </c>
      <c r="C308" s="1" t="n">
        <v>45718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4919-2024</t>
        </is>
      </c>
      <c r="B309" s="1" t="n">
        <v>45329</v>
      </c>
      <c r="C309" s="1" t="n">
        <v>45718</v>
      </c>
      <c r="D309" t="inlineStr">
        <is>
          <t>HALLANDS LÄN</t>
        </is>
      </c>
      <c r="E309" t="inlineStr">
        <is>
          <t>KUNGSBACKA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45718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5201-2024</t>
        </is>
      </c>
      <c r="B311" s="1" t="n">
        <v>45330</v>
      </c>
      <c r="C311" s="1" t="n">
        <v>45718</v>
      </c>
      <c r="D311" t="inlineStr">
        <is>
          <t>HALLANDS LÄN</t>
        </is>
      </c>
      <c r="E311" t="inlineStr">
        <is>
          <t>KUNGSBACKA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5753-2024</t>
        </is>
      </c>
      <c r="B312" s="1" t="n">
        <v>45335</v>
      </c>
      <c r="C312" s="1" t="n">
        <v>45718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5812-2024</t>
        </is>
      </c>
      <c r="B313" s="1" t="n">
        <v>45335</v>
      </c>
      <c r="C313" s="1" t="n">
        <v>45718</v>
      </c>
      <c r="D313" t="inlineStr">
        <is>
          <t>HALLANDS LÄN</t>
        </is>
      </c>
      <c r="E313" t="inlineStr">
        <is>
          <t>KUNGSBACKA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5892-2024</t>
        </is>
      </c>
      <c r="B314" s="1" t="n">
        <v>45335</v>
      </c>
      <c r="C314" s="1" t="n">
        <v>45718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5890-2024</t>
        </is>
      </c>
      <c r="B315" s="1" t="n">
        <v>45335</v>
      </c>
      <c r="C315" s="1" t="n">
        <v>45718</v>
      </c>
      <c r="D315" t="inlineStr">
        <is>
          <t>HALLANDS LÄN</t>
        </is>
      </c>
      <c r="E315" t="inlineStr">
        <is>
          <t>KUNGSBACKA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6214-2024</t>
        </is>
      </c>
      <c r="B316" s="1" t="n">
        <v>45337</v>
      </c>
      <c r="C316" s="1" t="n">
        <v>45718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6103-2024</t>
        </is>
      </c>
      <c r="B317" s="1" t="n">
        <v>45337</v>
      </c>
      <c r="C317" s="1" t="n">
        <v>45718</v>
      </c>
      <c r="D317" t="inlineStr">
        <is>
          <t>HALLANDS LÄN</t>
        </is>
      </c>
      <c r="E317" t="inlineStr">
        <is>
          <t>KUNGSBACKA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6393-2024</t>
        </is>
      </c>
      <c r="B318" s="1" t="n">
        <v>45338</v>
      </c>
      <c r="C318" s="1" t="n">
        <v>45718</v>
      </c>
      <c r="D318" t="inlineStr">
        <is>
          <t>HALLANDS LÄN</t>
        </is>
      </c>
      <c r="E318" t="inlineStr">
        <is>
          <t>KUNGSBACKA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6417-2024</t>
        </is>
      </c>
      <c r="B319" s="1" t="n">
        <v>45338</v>
      </c>
      <c r="C319" s="1" t="n">
        <v>45718</v>
      </c>
      <c r="D319" t="inlineStr">
        <is>
          <t>HALLANDS LÄN</t>
        </is>
      </c>
      <c r="E319" t="inlineStr">
        <is>
          <t>KUNGSBACKA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7435-2024</t>
        </is>
      </c>
      <c r="B320" s="1" t="n">
        <v>45345</v>
      </c>
      <c r="C320" s="1" t="n">
        <v>45718</v>
      </c>
      <c r="D320" t="inlineStr">
        <is>
          <t>HALLANDS LÄN</t>
        </is>
      </c>
      <c r="E320" t="inlineStr">
        <is>
          <t>KUNGSBACKA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7353-2024</t>
        </is>
      </c>
      <c r="B321" s="1" t="n">
        <v>45345</v>
      </c>
      <c r="C321" s="1" t="n">
        <v>45718</v>
      </c>
      <c r="D321" t="inlineStr">
        <is>
          <t>HALLANDS LÄN</t>
        </is>
      </c>
      <c r="E321" t="inlineStr">
        <is>
          <t>KUNGSBACKA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8789-2024</t>
        </is>
      </c>
      <c r="B322" s="1" t="n">
        <v>45356</v>
      </c>
      <c r="C322" s="1" t="n">
        <v>45718</v>
      </c>
      <c r="D322" t="inlineStr">
        <is>
          <t>HALLANDS LÄN</t>
        </is>
      </c>
      <c r="E322" t="inlineStr">
        <is>
          <t>KUNGSBACKA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9414-2024</t>
        </is>
      </c>
      <c r="B323" s="1" t="n">
        <v>45359</v>
      </c>
      <c r="C323" s="1" t="n">
        <v>45718</v>
      </c>
      <c r="D323" t="inlineStr">
        <is>
          <t>HALLANDS LÄN</t>
        </is>
      </c>
      <c r="E323" t="inlineStr">
        <is>
          <t>KUNGSBACKA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9430-2024</t>
        </is>
      </c>
      <c r="B324" s="1" t="n">
        <v>45359</v>
      </c>
      <c r="C324" s="1" t="n">
        <v>45718</v>
      </c>
      <c r="D324" t="inlineStr">
        <is>
          <t>HALLANDS LÄN</t>
        </is>
      </c>
      <c r="E324" t="inlineStr">
        <is>
          <t>KUNGSBACKA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9409-2024</t>
        </is>
      </c>
      <c r="B325" s="1" t="n">
        <v>45359</v>
      </c>
      <c r="C325" s="1" t="n">
        <v>45718</v>
      </c>
      <c r="D325" t="inlineStr">
        <is>
          <t>HALLANDS LÄN</t>
        </is>
      </c>
      <c r="E325" t="inlineStr">
        <is>
          <t>KUNGSBACKA</t>
        </is>
      </c>
      <c r="F325" t="inlineStr">
        <is>
          <t>Kyrkan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9421-2024</t>
        </is>
      </c>
      <c r="B326" s="1" t="n">
        <v>45359</v>
      </c>
      <c r="C326" s="1" t="n">
        <v>45718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9492-2024</t>
        </is>
      </c>
      <c r="B327" s="1" t="n">
        <v>45359</v>
      </c>
      <c r="C327" s="1" t="n">
        <v>45718</v>
      </c>
      <c r="D327" t="inlineStr">
        <is>
          <t>HALLANDS LÄN</t>
        </is>
      </c>
      <c r="E327" t="inlineStr">
        <is>
          <t>KUNGSBACKA</t>
        </is>
      </c>
      <c r="F327" t="inlineStr">
        <is>
          <t>Kyrkan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9412-2024</t>
        </is>
      </c>
      <c r="B328" s="1" t="n">
        <v>45359</v>
      </c>
      <c r="C328" s="1" t="n">
        <v>45718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9424-2024</t>
        </is>
      </c>
      <c r="B329" s="1" t="n">
        <v>45359</v>
      </c>
      <c r="C329" s="1" t="n">
        <v>45718</v>
      </c>
      <c r="D329" t="inlineStr">
        <is>
          <t>HALLANDS LÄN</t>
        </is>
      </c>
      <c r="E329" t="inlineStr">
        <is>
          <t>KUNGSBACKA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9548-2024</t>
        </is>
      </c>
      <c r="B330" s="1" t="n">
        <v>45359</v>
      </c>
      <c r="C330" s="1" t="n">
        <v>45718</v>
      </c>
      <c r="D330" t="inlineStr">
        <is>
          <t>HALLANDS LÄN</t>
        </is>
      </c>
      <c r="E330" t="inlineStr">
        <is>
          <t>KUNGSBACKA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9415-2024</t>
        </is>
      </c>
      <c r="B331" s="1" t="n">
        <v>45359</v>
      </c>
      <c r="C331" s="1" t="n">
        <v>45718</v>
      </c>
      <c r="D331" t="inlineStr">
        <is>
          <t>HALLANDS LÄN</t>
        </is>
      </c>
      <c r="E331" t="inlineStr">
        <is>
          <t>KUNGSBACKA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9423-2024</t>
        </is>
      </c>
      <c r="B332" s="1" t="n">
        <v>45359</v>
      </c>
      <c r="C332" s="1" t="n">
        <v>45718</v>
      </c>
      <c r="D332" t="inlineStr">
        <is>
          <t>HALLANDS LÄN</t>
        </is>
      </c>
      <c r="E332" t="inlineStr">
        <is>
          <t>KUNGSBACKA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9527-2024</t>
        </is>
      </c>
      <c r="B333" s="1" t="n">
        <v>45359</v>
      </c>
      <c r="C333" s="1" t="n">
        <v>45718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9848-2024</t>
        </is>
      </c>
      <c r="B334" s="1" t="n">
        <v>45363</v>
      </c>
      <c r="C334" s="1" t="n">
        <v>45718</v>
      </c>
      <c r="D334" t="inlineStr">
        <is>
          <t>HALLANDS LÄN</t>
        </is>
      </c>
      <c r="E334" t="inlineStr">
        <is>
          <t>KUNGSBACKA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10081-2024</t>
        </is>
      </c>
      <c r="B335" s="1" t="n">
        <v>45364</v>
      </c>
      <c r="C335" s="1" t="n">
        <v>45718</v>
      </c>
      <c r="D335" t="inlineStr">
        <is>
          <t>HALLANDS LÄN</t>
        </is>
      </c>
      <c r="E335" t="inlineStr">
        <is>
          <t>KUNGSBACKA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10149-2024</t>
        </is>
      </c>
      <c r="B336" s="1" t="n">
        <v>45364</v>
      </c>
      <c r="C336" s="1" t="n">
        <v>45718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10396-2024</t>
        </is>
      </c>
      <c r="B337" s="1" t="n">
        <v>45365</v>
      </c>
      <c r="C337" s="1" t="n">
        <v>45718</v>
      </c>
      <c r="D337" t="inlineStr">
        <is>
          <t>HALLANDS LÄN</t>
        </is>
      </c>
      <c r="E337" t="inlineStr">
        <is>
          <t>KUNGSBACKA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10572-2024</t>
        </is>
      </c>
      <c r="B338" s="1" t="n">
        <v>45366</v>
      </c>
      <c r="C338" s="1" t="n">
        <v>45718</v>
      </c>
      <c r="D338" t="inlineStr">
        <is>
          <t>HALLANDS LÄN</t>
        </is>
      </c>
      <c r="E338" t="inlineStr">
        <is>
          <t>KUNGSBACKA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10949-2024</t>
        </is>
      </c>
      <c r="B339" s="1" t="n">
        <v>45370</v>
      </c>
      <c r="C339" s="1" t="n">
        <v>45718</v>
      </c>
      <c r="D339" t="inlineStr">
        <is>
          <t>HALLANDS LÄN</t>
        </is>
      </c>
      <c r="E339" t="inlineStr">
        <is>
          <t>KUNGSBACKA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11306-2024</t>
        </is>
      </c>
      <c r="B340" s="1" t="n">
        <v>45371</v>
      </c>
      <c r="C340" s="1" t="n">
        <v>45718</v>
      </c>
      <c r="D340" t="inlineStr">
        <is>
          <t>HALLANDS LÄN</t>
        </is>
      </c>
      <c r="E340" t="inlineStr">
        <is>
          <t>KUNGSBACKA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11310-2024</t>
        </is>
      </c>
      <c r="B341" s="1" t="n">
        <v>45371</v>
      </c>
      <c r="C341" s="1" t="n">
        <v>45718</v>
      </c>
      <c r="D341" t="inlineStr">
        <is>
          <t>HALLANDS LÄN</t>
        </is>
      </c>
      <c r="E341" t="inlineStr">
        <is>
          <t>KUNGSBACKA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11293-2024</t>
        </is>
      </c>
      <c r="B342" s="1" t="n">
        <v>45371</v>
      </c>
      <c r="C342" s="1" t="n">
        <v>45718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11296-2024</t>
        </is>
      </c>
      <c r="B343" s="1" t="n">
        <v>45371</v>
      </c>
      <c r="C343" s="1" t="n">
        <v>45718</v>
      </c>
      <c r="D343" t="inlineStr">
        <is>
          <t>HALLANDS LÄN</t>
        </is>
      </c>
      <c r="E343" t="inlineStr">
        <is>
          <t>KUNGSBACKA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14059-2024</t>
        </is>
      </c>
      <c r="B344" s="1" t="n">
        <v>45392</v>
      </c>
      <c r="C344" s="1" t="n">
        <v>45718</v>
      </c>
      <c r="D344" t="inlineStr">
        <is>
          <t>HALLANDS LÄN</t>
        </is>
      </c>
      <c r="E344" t="inlineStr">
        <is>
          <t>KUNGSBACKA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14846-2024</t>
        </is>
      </c>
      <c r="B345" s="1" t="n">
        <v>45398</v>
      </c>
      <c r="C345" s="1" t="n">
        <v>45718</v>
      </c>
      <c r="D345" t="inlineStr">
        <is>
          <t>HALLANDS LÄN</t>
        </is>
      </c>
      <c r="E345" t="inlineStr">
        <is>
          <t>KUNGSBACKA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14938-2024</t>
        </is>
      </c>
      <c r="B346" s="1" t="n">
        <v>45398</v>
      </c>
      <c r="C346" s="1" t="n">
        <v>45718</v>
      </c>
      <c r="D346" t="inlineStr">
        <is>
          <t>HALLANDS LÄN</t>
        </is>
      </c>
      <c r="E346" t="inlineStr">
        <is>
          <t>KUNGSBACKA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14843-2024</t>
        </is>
      </c>
      <c r="B347" s="1" t="n">
        <v>45398</v>
      </c>
      <c r="C347" s="1" t="n">
        <v>45718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15019-2024</t>
        </is>
      </c>
      <c r="B348" s="1" t="n">
        <v>45399</v>
      </c>
      <c r="C348" s="1" t="n">
        <v>45718</v>
      </c>
      <c r="D348" t="inlineStr">
        <is>
          <t>HALLANDS LÄN</t>
        </is>
      </c>
      <c r="E348" t="inlineStr">
        <is>
          <t>KUNGSBACKA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15020-2024</t>
        </is>
      </c>
      <c r="B349" s="1" t="n">
        <v>45399</v>
      </c>
      <c r="C349" s="1" t="n">
        <v>45718</v>
      </c>
      <c r="D349" t="inlineStr">
        <is>
          <t>HALLANDS LÄN</t>
        </is>
      </c>
      <c r="E349" t="inlineStr">
        <is>
          <t>KUNGSBACKA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15163-2024</t>
        </is>
      </c>
      <c r="B350" s="1" t="n">
        <v>45400</v>
      </c>
      <c r="C350" s="1" t="n">
        <v>45718</v>
      </c>
      <c r="D350" t="inlineStr">
        <is>
          <t>HALLANDS LÄN</t>
        </is>
      </c>
      <c r="E350" t="inlineStr">
        <is>
          <t>KUNGSBACKA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15726-2024</t>
        </is>
      </c>
      <c r="B351" s="1" t="n">
        <v>45404</v>
      </c>
      <c r="C351" s="1" t="n">
        <v>45718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15723-2024</t>
        </is>
      </c>
      <c r="B352" s="1" t="n">
        <v>45404</v>
      </c>
      <c r="C352" s="1" t="n">
        <v>45718</v>
      </c>
      <c r="D352" t="inlineStr">
        <is>
          <t>HALLANDS LÄN</t>
        </is>
      </c>
      <c r="E352" t="inlineStr">
        <is>
          <t>KUNGSBACKA</t>
        </is>
      </c>
      <c r="F352" t="inlineStr">
        <is>
          <t>Sveaskog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16409-2024</t>
        </is>
      </c>
      <c r="B353" s="1" t="n">
        <v>45407</v>
      </c>
      <c r="C353" s="1" t="n">
        <v>45718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16776-2024</t>
        </is>
      </c>
      <c r="B354" s="1" t="n">
        <v>45411</v>
      </c>
      <c r="C354" s="1" t="n">
        <v>45718</v>
      </c>
      <c r="D354" t="inlineStr">
        <is>
          <t>HALLANDS LÄN</t>
        </is>
      </c>
      <c r="E354" t="inlineStr">
        <is>
          <t>KUNGSBACKA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18737-2024</t>
        </is>
      </c>
      <c r="B355" s="1" t="n">
        <v>45426</v>
      </c>
      <c r="C355" s="1" t="n">
        <v>45718</v>
      </c>
      <c r="D355" t="inlineStr">
        <is>
          <t>HALLANDS LÄN</t>
        </is>
      </c>
      <c r="E355" t="inlineStr">
        <is>
          <t>KUNGSBACKA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21279-2024</t>
        </is>
      </c>
      <c r="B356" s="1" t="n">
        <v>45440</v>
      </c>
      <c r="C356" s="1" t="n">
        <v>45718</v>
      </c>
      <c r="D356" t="inlineStr">
        <is>
          <t>HALLANDS LÄN</t>
        </is>
      </c>
      <c r="E356" t="inlineStr">
        <is>
          <t>KUNGSBACKA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21417-2024</t>
        </is>
      </c>
      <c r="B357" s="1" t="n">
        <v>45441</v>
      </c>
      <c r="C357" s="1" t="n">
        <v>45718</v>
      </c>
      <c r="D357" t="inlineStr">
        <is>
          <t>HALLANDS LÄN</t>
        </is>
      </c>
      <c r="E357" t="inlineStr">
        <is>
          <t>KUNGSBACKA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22003-2024</t>
        </is>
      </c>
      <c r="B358" s="1" t="n">
        <v>45443</v>
      </c>
      <c r="C358" s="1" t="n">
        <v>45718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23768-2024</t>
        </is>
      </c>
      <c r="B359" s="1" t="n">
        <v>45455</v>
      </c>
      <c r="C359" s="1" t="n">
        <v>45718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24174-2024</t>
        </is>
      </c>
      <c r="B360" s="1" t="n">
        <v>45456</v>
      </c>
      <c r="C360" s="1" t="n">
        <v>45718</v>
      </c>
      <c r="D360" t="inlineStr">
        <is>
          <t>HALLANDS LÄN</t>
        </is>
      </c>
      <c r="E360" t="inlineStr">
        <is>
          <t>KUNGSBACKA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24975-2024</t>
        </is>
      </c>
      <c r="B361" s="1" t="n">
        <v>45461</v>
      </c>
      <c r="C361" s="1" t="n">
        <v>45718</v>
      </c>
      <c r="D361" t="inlineStr">
        <is>
          <t>HALLANDS LÄN</t>
        </is>
      </c>
      <c r="E361" t="inlineStr">
        <is>
          <t>KUNGSBACKA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24941-2024</t>
        </is>
      </c>
      <c r="B362" s="1" t="n">
        <v>45461</v>
      </c>
      <c r="C362" s="1" t="n">
        <v>45718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24924-2024</t>
        </is>
      </c>
      <c r="B363" s="1" t="n">
        <v>45461</v>
      </c>
      <c r="C363" s="1" t="n">
        <v>45718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24964-2024</t>
        </is>
      </c>
      <c r="B364" s="1" t="n">
        <v>45461</v>
      </c>
      <c r="C364" s="1" t="n">
        <v>45718</v>
      </c>
      <c r="D364" t="inlineStr">
        <is>
          <t>HALLANDS LÄN</t>
        </is>
      </c>
      <c r="E364" t="inlineStr">
        <is>
          <t>KUNGSBACKA</t>
        </is>
      </c>
      <c r="F364" t="inlineStr">
        <is>
          <t>Kommuner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25053-2024</t>
        </is>
      </c>
      <c r="B365" s="1" t="n">
        <v>45462</v>
      </c>
      <c r="C365" s="1" t="n">
        <v>45718</v>
      </c>
      <c r="D365" t="inlineStr">
        <is>
          <t>HALLANDS LÄN</t>
        </is>
      </c>
      <c r="E365" t="inlineStr">
        <is>
          <t>KUNGSBACKA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25602-2024</t>
        </is>
      </c>
      <c r="B366" s="1" t="n">
        <v>45463</v>
      </c>
      <c r="C366" s="1" t="n">
        <v>45718</v>
      </c>
      <c r="D366" t="inlineStr">
        <is>
          <t>HALLANDS LÄN</t>
        </is>
      </c>
      <c r="E366" t="inlineStr">
        <is>
          <t>KUNGSBACKA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26772-2024</t>
        </is>
      </c>
      <c r="B367" s="1" t="n">
        <v>45470</v>
      </c>
      <c r="C367" s="1" t="n">
        <v>45718</v>
      </c>
      <c r="D367" t="inlineStr">
        <is>
          <t>HALLANDS LÄN</t>
        </is>
      </c>
      <c r="E367" t="inlineStr">
        <is>
          <t>KUNGSBACKA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27855-2024</t>
        </is>
      </c>
      <c r="B368" s="1" t="n">
        <v>45475</v>
      </c>
      <c r="C368" s="1" t="n">
        <v>45718</v>
      </c>
      <c r="D368" t="inlineStr">
        <is>
          <t>HALLANDS LÄN</t>
        </is>
      </c>
      <c r="E368" t="inlineStr">
        <is>
          <t>KUNGSBACKA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28583-2024</t>
        </is>
      </c>
      <c r="B369" s="1" t="n">
        <v>45478</v>
      </c>
      <c r="C369" s="1" t="n">
        <v>45718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28574-2024</t>
        </is>
      </c>
      <c r="B370" s="1" t="n">
        <v>45478</v>
      </c>
      <c r="C370" s="1" t="n">
        <v>45718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31293-2024</t>
        </is>
      </c>
      <c r="B371" s="1" t="n">
        <v>45504</v>
      </c>
      <c r="C371" s="1" t="n">
        <v>45718</v>
      </c>
      <c r="D371" t="inlineStr">
        <is>
          <t>HALLANDS LÄN</t>
        </is>
      </c>
      <c r="E371" t="inlineStr">
        <is>
          <t>KUNGSBACKA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31297-2024</t>
        </is>
      </c>
      <c r="B372" s="1" t="n">
        <v>45504</v>
      </c>
      <c r="C372" s="1" t="n">
        <v>45718</v>
      </c>
      <c r="D372" t="inlineStr">
        <is>
          <t>HALLANDS LÄN</t>
        </is>
      </c>
      <c r="E372" t="inlineStr">
        <is>
          <t>KUNGSBACKA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31344-2024</t>
        </is>
      </c>
      <c r="B373" s="1" t="n">
        <v>45504</v>
      </c>
      <c r="C373" s="1" t="n">
        <v>45718</v>
      </c>
      <c r="D373" t="inlineStr">
        <is>
          <t>HALLANDS LÄN</t>
        </is>
      </c>
      <c r="E373" t="inlineStr">
        <is>
          <t>KUNGSBACKA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31291-2024</t>
        </is>
      </c>
      <c r="B374" s="1" t="n">
        <v>45504</v>
      </c>
      <c r="C374" s="1" t="n">
        <v>45718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32030-2024</t>
        </is>
      </c>
      <c r="B375" s="1" t="n">
        <v>45510</v>
      </c>
      <c r="C375" s="1" t="n">
        <v>45718</v>
      </c>
      <c r="D375" t="inlineStr">
        <is>
          <t>HALLANDS LÄN</t>
        </is>
      </c>
      <c r="E375" t="inlineStr">
        <is>
          <t>KUNGSBACKA</t>
        </is>
      </c>
      <c r="F375" t="inlineStr">
        <is>
          <t>Kyrkan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31995-2024</t>
        </is>
      </c>
      <c r="B376" s="1" t="n">
        <v>45510</v>
      </c>
      <c r="C376" s="1" t="n">
        <v>45718</v>
      </c>
      <c r="D376" t="inlineStr">
        <is>
          <t>HALLANDS LÄN</t>
        </is>
      </c>
      <c r="E376" t="inlineStr">
        <is>
          <t>KUNGSBACKA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32295-2024</t>
        </is>
      </c>
      <c r="B377" s="1" t="n">
        <v>45512</v>
      </c>
      <c r="C377" s="1" t="n">
        <v>45718</v>
      </c>
      <c r="D377" t="inlineStr">
        <is>
          <t>HALLANDS LÄN</t>
        </is>
      </c>
      <c r="E377" t="inlineStr">
        <is>
          <t>KUNGSBACKA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32869-2024</t>
        </is>
      </c>
      <c r="B378" s="1" t="n">
        <v>45516</v>
      </c>
      <c r="C378" s="1" t="n">
        <v>45718</v>
      </c>
      <c r="D378" t="inlineStr">
        <is>
          <t>HALLANDS LÄN</t>
        </is>
      </c>
      <c r="E378" t="inlineStr">
        <is>
          <t>KUNGSBACKA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32850-2024</t>
        </is>
      </c>
      <c r="B379" s="1" t="n">
        <v>45516</v>
      </c>
      <c r="C379" s="1" t="n">
        <v>45718</v>
      </c>
      <c r="D379" t="inlineStr">
        <is>
          <t>HALLANDS LÄN</t>
        </is>
      </c>
      <c r="E379" t="inlineStr">
        <is>
          <t>KUNGSBACKA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32875-2024</t>
        </is>
      </c>
      <c r="B380" s="1" t="n">
        <v>45516</v>
      </c>
      <c r="C380" s="1" t="n">
        <v>45718</v>
      </c>
      <c r="D380" t="inlineStr">
        <is>
          <t>HALLANDS LÄN</t>
        </is>
      </c>
      <c r="E380" t="inlineStr">
        <is>
          <t>KUNGSBACKA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32852-2024</t>
        </is>
      </c>
      <c r="B381" s="1" t="n">
        <v>45516</v>
      </c>
      <c r="C381" s="1" t="n">
        <v>45718</v>
      </c>
      <c r="D381" t="inlineStr">
        <is>
          <t>HALLANDS LÄN</t>
        </is>
      </c>
      <c r="E381" t="inlineStr">
        <is>
          <t>KUNGSBACKA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34052-2024</t>
        </is>
      </c>
      <c r="B382" s="1" t="n">
        <v>45523</v>
      </c>
      <c r="C382" s="1" t="n">
        <v>45718</v>
      </c>
      <c r="D382" t="inlineStr">
        <is>
          <t>HALLANDS LÄN</t>
        </is>
      </c>
      <c r="E382" t="inlineStr">
        <is>
          <t>KUNGSBACKA</t>
        </is>
      </c>
      <c r="G382" t="n">
        <v>15.7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34057-2024</t>
        </is>
      </c>
      <c r="B383" s="1" t="n">
        <v>45523</v>
      </c>
      <c r="C383" s="1" t="n">
        <v>45718</v>
      </c>
      <c r="D383" t="inlineStr">
        <is>
          <t>HALLANDS LÄN</t>
        </is>
      </c>
      <c r="E383" t="inlineStr">
        <is>
          <t>KUNGSBACKA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34315-2024</t>
        </is>
      </c>
      <c r="B384" s="1" t="n">
        <v>45524</v>
      </c>
      <c r="C384" s="1" t="n">
        <v>45718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34319-2024</t>
        </is>
      </c>
      <c r="B385" s="1" t="n">
        <v>45524</v>
      </c>
      <c r="C385" s="1" t="n">
        <v>45718</v>
      </c>
      <c r="D385" t="inlineStr">
        <is>
          <t>HALLANDS LÄN</t>
        </is>
      </c>
      <c r="E385" t="inlineStr">
        <is>
          <t>KUNGSBACKA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34445-2024</t>
        </is>
      </c>
      <c r="B386" s="1" t="n">
        <v>45525</v>
      </c>
      <c r="C386" s="1" t="n">
        <v>45718</v>
      </c>
      <c r="D386" t="inlineStr">
        <is>
          <t>HALLANDS LÄN</t>
        </is>
      </c>
      <c r="E386" t="inlineStr">
        <is>
          <t>KUNGSBACKA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34449-2024</t>
        </is>
      </c>
      <c r="B387" s="1" t="n">
        <v>45525</v>
      </c>
      <c r="C387" s="1" t="n">
        <v>45718</v>
      </c>
      <c r="D387" t="inlineStr">
        <is>
          <t>HALLANDS LÄN</t>
        </is>
      </c>
      <c r="E387" t="inlineStr">
        <is>
          <t>KUNGSBACKA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34439-2024</t>
        </is>
      </c>
      <c r="B388" s="1" t="n">
        <v>45525</v>
      </c>
      <c r="C388" s="1" t="n">
        <v>45718</v>
      </c>
      <c r="D388" t="inlineStr">
        <is>
          <t>HALLANDS LÄN</t>
        </is>
      </c>
      <c r="E388" t="inlineStr">
        <is>
          <t>KUNGSBACKA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34732-2024</t>
        </is>
      </c>
      <c r="B389" s="1" t="n">
        <v>45526</v>
      </c>
      <c r="C389" s="1" t="n">
        <v>45718</v>
      </c>
      <c r="D389" t="inlineStr">
        <is>
          <t>HALLANDS LÄN</t>
        </is>
      </c>
      <c r="E389" t="inlineStr">
        <is>
          <t>KUNGSBACKA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35804-2024</t>
        </is>
      </c>
      <c r="B390" s="1" t="n">
        <v>45532</v>
      </c>
      <c r="C390" s="1" t="n">
        <v>45718</v>
      </c>
      <c r="D390" t="inlineStr">
        <is>
          <t>HALLANDS LÄN</t>
        </is>
      </c>
      <c r="E390" t="inlineStr">
        <is>
          <t>KUNGSBACKA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35808-2024</t>
        </is>
      </c>
      <c r="B391" s="1" t="n">
        <v>45532</v>
      </c>
      <c r="C391" s="1" t="n">
        <v>45718</v>
      </c>
      <c r="D391" t="inlineStr">
        <is>
          <t>HALLANDS LÄN</t>
        </is>
      </c>
      <c r="E391" t="inlineStr">
        <is>
          <t>KUNGSBACKA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35811-2024</t>
        </is>
      </c>
      <c r="B392" s="1" t="n">
        <v>45532</v>
      </c>
      <c r="C392" s="1" t="n">
        <v>45718</v>
      </c>
      <c r="D392" t="inlineStr">
        <is>
          <t>HALLANDS LÄN</t>
        </is>
      </c>
      <c r="E392" t="inlineStr">
        <is>
          <t>KUNGSBACKA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36654-2024</t>
        </is>
      </c>
      <c r="B393" s="1" t="n">
        <v>45537</v>
      </c>
      <c r="C393" s="1" t="n">
        <v>45718</v>
      </c>
      <c r="D393" t="inlineStr">
        <is>
          <t>HALLANDS LÄN</t>
        </is>
      </c>
      <c r="E393" t="inlineStr">
        <is>
          <t>KUNGSBACKA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37894-2024</t>
        </is>
      </c>
      <c r="B394" s="1" t="n">
        <v>45544</v>
      </c>
      <c r="C394" s="1" t="n">
        <v>45718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41508-2024</t>
        </is>
      </c>
      <c r="B395" s="1" t="n">
        <v>45560</v>
      </c>
      <c r="C395" s="1" t="n">
        <v>45718</v>
      </c>
      <c r="D395" t="inlineStr">
        <is>
          <t>HALLANDS LÄN</t>
        </is>
      </c>
      <c r="E395" t="inlineStr">
        <is>
          <t>KUNGSBACKA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41855-2024</t>
        </is>
      </c>
      <c r="B396" s="1" t="n">
        <v>45561</v>
      </c>
      <c r="C396" s="1" t="n">
        <v>45718</v>
      </c>
      <c r="D396" t="inlineStr">
        <is>
          <t>HALLANDS LÄN</t>
        </is>
      </c>
      <c r="E396" t="inlineStr">
        <is>
          <t>KUNGSBACKA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45284-2024</t>
        </is>
      </c>
      <c r="B397" s="1" t="n">
        <v>45576</v>
      </c>
      <c r="C397" s="1" t="n">
        <v>45718</v>
      </c>
      <c r="D397" t="inlineStr">
        <is>
          <t>HALLANDS LÄN</t>
        </is>
      </c>
      <c r="E397" t="inlineStr">
        <is>
          <t>KUNGSBACKA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45281-2024</t>
        </is>
      </c>
      <c r="B398" s="1" t="n">
        <v>45576</v>
      </c>
      <c r="C398" s="1" t="n">
        <v>45718</v>
      </c>
      <c r="D398" t="inlineStr">
        <is>
          <t>HALLANDS LÄN</t>
        </is>
      </c>
      <c r="E398" t="inlineStr">
        <is>
          <t>KUNGSBACKA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46251-2024</t>
        </is>
      </c>
      <c r="B399" s="1" t="n">
        <v>45581</v>
      </c>
      <c r="C399" s="1" t="n">
        <v>45718</v>
      </c>
      <c r="D399" t="inlineStr">
        <is>
          <t>HALLANDS LÄN</t>
        </is>
      </c>
      <c r="E399" t="inlineStr">
        <is>
          <t>KUNGSBACKA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46263-2024</t>
        </is>
      </c>
      <c r="B400" s="1" t="n">
        <v>45581</v>
      </c>
      <c r="C400" s="1" t="n">
        <v>45718</v>
      </c>
      <c r="D400" t="inlineStr">
        <is>
          <t>HALLANDS LÄN</t>
        </is>
      </c>
      <c r="E400" t="inlineStr">
        <is>
          <t>KUNGSBACKA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47321-2024</t>
        </is>
      </c>
      <c r="B401" s="1" t="n">
        <v>45587</v>
      </c>
      <c r="C401" s="1" t="n">
        <v>45718</v>
      </c>
      <c r="D401" t="inlineStr">
        <is>
          <t>HALLANDS LÄN</t>
        </is>
      </c>
      <c r="E401" t="inlineStr">
        <is>
          <t>KUNGSBACKA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49489-2024</t>
        </is>
      </c>
      <c r="B402" s="1" t="n">
        <v>45596</v>
      </c>
      <c r="C402" s="1" t="n">
        <v>45718</v>
      </c>
      <c r="D402" t="inlineStr">
        <is>
          <t>HALLANDS LÄN</t>
        </is>
      </c>
      <c r="E402" t="inlineStr">
        <is>
          <t>KUNGSBACKA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49492-2024</t>
        </is>
      </c>
      <c r="B403" s="1" t="n">
        <v>45596</v>
      </c>
      <c r="C403" s="1" t="n">
        <v>45718</v>
      </c>
      <c r="D403" t="inlineStr">
        <is>
          <t>HALLANDS LÄN</t>
        </is>
      </c>
      <c r="E403" t="inlineStr">
        <is>
          <t>KUNGSBACKA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45718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49486-2024</t>
        </is>
      </c>
      <c r="B405" s="1" t="n">
        <v>45596</v>
      </c>
      <c r="C405" s="1" t="n">
        <v>45718</v>
      </c>
      <c r="D405" t="inlineStr">
        <is>
          <t>HALLANDS LÄN</t>
        </is>
      </c>
      <c r="E405" t="inlineStr">
        <is>
          <t>KUNGSBACKA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50957-2024</t>
        </is>
      </c>
      <c r="B406" s="1" t="n">
        <v>45603</v>
      </c>
      <c r="C406" s="1" t="n">
        <v>45718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45718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45718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51451-2024</t>
        </is>
      </c>
      <c r="B409" s="1" t="n">
        <v>45604</v>
      </c>
      <c r="C409" s="1" t="n">
        <v>45718</v>
      </c>
      <c r="D409" t="inlineStr">
        <is>
          <t>HALLANDS LÄN</t>
        </is>
      </c>
      <c r="E409" t="inlineStr">
        <is>
          <t>KUNGSBACKA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51978-2024</t>
        </is>
      </c>
      <c r="B410" s="1" t="n">
        <v>45607</v>
      </c>
      <c r="C410" s="1" t="n">
        <v>45718</v>
      </c>
      <c r="D410" t="inlineStr">
        <is>
          <t>HALLANDS LÄN</t>
        </is>
      </c>
      <c r="E410" t="inlineStr">
        <is>
          <t>KUNGSBACKA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45718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53194-2024</t>
        </is>
      </c>
      <c r="B412" s="1" t="n">
        <v>45610</v>
      </c>
      <c r="C412" s="1" t="n">
        <v>45718</v>
      </c>
      <c r="D412" t="inlineStr">
        <is>
          <t>HALLANDS LÄN</t>
        </is>
      </c>
      <c r="E412" t="inlineStr">
        <is>
          <t>KUNGSBACKA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53972-2024</t>
        </is>
      </c>
      <c r="B413" s="1" t="n">
        <v>45616</v>
      </c>
      <c r="C413" s="1" t="n">
        <v>45718</v>
      </c>
      <c r="D413" t="inlineStr">
        <is>
          <t>HALLANDS LÄN</t>
        </is>
      </c>
      <c r="E413" t="inlineStr">
        <is>
          <t>KUNGSBACKA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54319-2024</t>
        </is>
      </c>
      <c r="B414" s="1" t="n">
        <v>45617</v>
      </c>
      <c r="C414" s="1" t="n">
        <v>45718</v>
      </c>
      <c r="D414" t="inlineStr">
        <is>
          <t>HALLANDS LÄN</t>
        </is>
      </c>
      <c r="E414" t="inlineStr">
        <is>
          <t>KUNGSBACKA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57812-2024</t>
        </is>
      </c>
      <c r="B415" s="1" t="n">
        <v>45631</v>
      </c>
      <c r="C415" s="1" t="n">
        <v>45718</v>
      </c>
      <c r="D415" t="inlineStr">
        <is>
          <t>HALLANDS LÄN</t>
        </is>
      </c>
      <c r="E415" t="inlineStr">
        <is>
          <t>KUNGSBACKA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45718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58327-2024</t>
        </is>
      </c>
      <c r="B417" s="1" t="n">
        <v>45632</v>
      </c>
      <c r="C417" s="1" t="n">
        <v>45718</v>
      </c>
      <c r="D417" t="inlineStr">
        <is>
          <t>HALLANDS LÄN</t>
        </is>
      </c>
      <c r="E417" t="inlineStr">
        <is>
          <t>KUNGSBACKA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58324-2024</t>
        </is>
      </c>
      <c r="B418" s="1" t="n">
        <v>45632</v>
      </c>
      <c r="C418" s="1" t="n">
        <v>45718</v>
      </c>
      <c r="D418" t="inlineStr">
        <is>
          <t>HALLANDS LÄN</t>
        </is>
      </c>
      <c r="E418" t="inlineStr">
        <is>
          <t>KUNGSBACKA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58381-2024</t>
        </is>
      </c>
      <c r="B419" s="1" t="n">
        <v>45632</v>
      </c>
      <c r="C419" s="1" t="n">
        <v>45718</v>
      </c>
      <c r="D419" t="inlineStr">
        <is>
          <t>HALLANDS LÄN</t>
        </is>
      </c>
      <c r="E419" t="inlineStr">
        <is>
          <t>KUNGSBACKA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58779-2024</t>
        </is>
      </c>
      <c r="B420" s="1" t="n">
        <v>45635</v>
      </c>
      <c r="C420" s="1" t="n">
        <v>45718</v>
      </c>
      <c r="D420" t="inlineStr">
        <is>
          <t>HALLANDS LÄN</t>
        </is>
      </c>
      <c r="E420" t="inlineStr">
        <is>
          <t>KUNGSBACKA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58890-2024</t>
        </is>
      </c>
      <c r="B421" s="1" t="n">
        <v>45636</v>
      </c>
      <c r="C421" s="1" t="n">
        <v>45718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59304-2024</t>
        </is>
      </c>
      <c r="B422" s="1" t="n">
        <v>45637</v>
      </c>
      <c r="C422" s="1" t="n">
        <v>45718</v>
      </c>
      <c r="D422" t="inlineStr">
        <is>
          <t>HALLANDS LÄN</t>
        </is>
      </c>
      <c r="E422" t="inlineStr">
        <is>
          <t>KUNGSBACKA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59623-2024</t>
        </is>
      </c>
      <c r="B423" s="1" t="n">
        <v>45638</v>
      </c>
      <c r="C423" s="1" t="n">
        <v>45718</v>
      </c>
      <c r="D423" t="inlineStr">
        <is>
          <t>HALLANDS LÄN</t>
        </is>
      </c>
      <c r="E423" t="inlineStr">
        <is>
          <t>KUNGSBACKA</t>
        </is>
      </c>
      <c r="G423" t="n">
        <v>19.2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45718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59696-2024</t>
        </is>
      </c>
      <c r="B425" s="1" t="n">
        <v>45639</v>
      </c>
      <c r="C425" s="1" t="n">
        <v>45718</v>
      </c>
      <c r="D425" t="inlineStr">
        <is>
          <t>HALLANDS LÄN</t>
        </is>
      </c>
      <c r="E425" t="inlineStr">
        <is>
          <t>KUNGSBACKA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61288-2024</t>
        </is>
      </c>
      <c r="B426" s="1" t="n">
        <v>45645</v>
      </c>
      <c r="C426" s="1" t="n">
        <v>45718</v>
      </c>
      <c r="D426" t="inlineStr">
        <is>
          <t>HALLANDS LÄN</t>
        </is>
      </c>
      <c r="E426" t="inlineStr">
        <is>
          <t>KUNGSBACKA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61446-2024</t>
        </is>
      </c>
      <c r="B427" s="1" t="n">
        <v>45646</v>
      </c>
      <c r="C427" s="1" t="n">
        <v>45718</v>
      </c>
      <c r="D427" t="inlineStr">
        <is>
          <t>HALLANDS LÄN</t>
        </is>
      </c>
      <c r="E427" t="inlineStr">
        <is>
          <t>KUNGSBACKA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61976-2024</t>
        </is>
      </c>
      <c r="B428" s="1" t="n">
        <v>45653</v>
      </c>
      <c r="C428" s="1" t="n">
        <v>45718</v>
      </c>
      <c r="D428" t="inlineStr">
        <is>
          <t>HALLANDS LÄN</t>
        </is>
      </c>
      <c r="E428" t="inlineStr">
        <is>
          <t>KUNGSBACKA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45718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61975-2024</t>
        </is>
      </c>
      <c r="B430" s="1" t="n">
        <v>45653</v>
      </c>
      <c r="C430" s="1" t="n">
        <v>45718</v>
      </c>
      <c r="D430" t="inlineStr">
        <is>
          <t>HALLANDS LÄN</t>
        </is>
      </c>
      <c r="E430" t="inlineStr">
        <is>
          <t>KUNGSBACKA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62141-2024</t>
        </is>
      </c>
      <c r="B431" s="1" t="n">
        <v>45656</v>
      </c>
      <c r="C431" s="1" t="n">
        <v>45718</v>
      </c>
      <c r="D431" t="inlineStr">
        <is>
          <t>HALLANDS LÄN</t>
        </is>
      </c>
      <c r="E431" t="inlineStr">
        <is>
          <t>KUNGSBACKA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62142-2024</t>
        </is>
      </c>
      <c r="B432" s="1" t="n">
        <v>45656</v>
      </c>
      <c r="C432" s="1" t="n">
        <v>45718</v>
      </c>
      <c r="D432" t="inlineStr">
        <is>
          <t>HALLANDS LÄN</t>
        </is>
      </c>
      <c r="E432" t="inlineStr">
        <is>
          <t>KUNGSBACKA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62138-2024</t>
        </is>
      </c>
      <c r="B433" s="1" t="n">
        <v>45656</v>
      </c>
      <c r="C433" s="1" t="n">
        <v>45718</v>
      </c>
      <c r="D433" t="inlineStr">
        <is>
          <t>HALLANDS LÄN</t>
        </is>
      </c>
      <c r="E433" t="inlineStr">
        <is>
          <t>KUNGSBACKA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62139-2024</t>
        </is>
      </c>
      <c r="B434" s="1" t="n">
        <v>45656</v>
      </c>
      <c r="C434" s="1" t="n">
        <v>45718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62143-2024</t>
        </is>
      </c>
      <c r="B435" s="1" t="n">
        <v>45656</v>
      </c>
      <c r="C435" s="1" t="n">
        <v>45718</v>
      </c>
      <c r="D435" t="inlineStr">
        <is>
          <t>HALLANDS LÄN</t>
        </is>
      </c>
      <c r="E435" t="inlineStr">
        <is>
          <t>KUNGSBACKA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51-2025</t>
        </is>
      </c>
      <c r="B436" s="1" t="n">
        <v>45659</v>
      </c>
      <c r="C436" s="1" t="n">
        <v>45718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58-2025</t>
        </is>
      </c>
      <c r="B437" s="1" t="n">
        <v>45659</v>
      </c>
      <c r="C437" s="1" t="n">
        <v>45718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2074-2025</t>
        </is>
      </c>
      <c r="B438" s="1" t="n">
        <v>45672</v>
      </c>
      <c r="C438" s="1" t="n">
        <v>45718</v>
      </c>
      <c r="D438" t="inlineStr">
        <is>
          <t>HALLANDS LÄN</t>
        </is>
      </c>
      <c r="E438" t="inlineStr">
        <is>
          <t>KUNGSBACKA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2089-2025</t>
        </is>
      </c>
      <c r="B439" s="1" t="n">
        <v>45672</v>
      </c>
      <c r="C439" s="1" t="n">
        <v>45718</v>
      </c>
      <c r="D439" t="inlineStr">
        <is>
          <t>HALLANDS LÄN</t>
        </is>
      </c>
      <c r="E439" t="inlineStr">
        <is>
          <t>KUNGSBACKA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2691-2025</t>
        </is>
      </c>
      <c r="B440" s="1" t="n">
        <v>45677</v>
      </c>
      <c r="C440" s="1" t="n">
        <v>45718</v>
      </c>
      <c r="D440" t="inlineStr">
        <is>
          <t>HALLANDS LÄN</t>
        </is>
      </c>
      <c r="E440" t="inlineStr">
        <is>
          <t>KUNGSBACKA</t>
        </is>
      </c>
      <c r="G440" t="n">
        <v>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3281-2025</t>
        </is>
      </c>
      <c r="B441" s="1" t="n">
        <v>45679</v>
      </c>
      <c r="C441" s="1" t="n">
        <v>45718</v>
      </c>
      <c r="D441" t="inlineStr">
        <is>
          <t>HALLANDS LÄN</t>
        </is>
      </c>
      <c r="E441" t="inlineStr">
        <is>
          <t>KUNGSBACKA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3279-2025</t>
        </is>
      </c>
      <c r="B442" s="1" t="n">
        <v>45679</v>
      </c>
      <c r="C442" s="1" t="n">
        <v>45718</v>
      </c>
      <c r="D442" t="inlineStr">
        <is>
          <t>HALLANDS LÄN</t>
        </is>
      </c>
      <c r="E442" t="inlineStr">
        <is>
          <t>KUNGSBACKA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3266-2025</t>
        </is>
      </c>
      <c r="B443" s="1" t="n">
        <v>45679</v>
      </c>
      <c r="C443" s="1" t="n">
        <v>45718</v>
      </c>
      <c r="D443" t="inlineStr">
        <is>
          <t>HALLANDS LÄN</t>
        </is>
      </c>
      <c r="E443" t="inlineStr">
        <is>
          <t>KUNGSBACKA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3174-2025</t>
        </is>
      </c>
      <c r="B444" s="1" t="n">
        <v>45679</v>
      </c>
      <c r="C444" s="1" t="n">
        <v>45718</v>
      </c>
      <c r="D444" t="inlineStr">
        <is>
          <t>HALLANDS LÄN</t>
        </is>
      </c>
      <c r="E444" t="inlineStr">
        <is>
          <t>KUNGSBACKA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3533-2025</t>
        </is>
      </c>
      <c r="B445" s="1" t="n">
        <v>45680</v>
      </c>
      <c r="C445" s="1" t="n">
        <v>45718</v>
      </c>
      <c r="D445" t="inlineStr">
        <is>
          <t>HALLANDS LÄN</t>
        </is>
      </c>
      <c r="E445" t="inlineStr">
        <is>
          <t>KUNGSBACKA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4386-2025</t>
        </is>
      </c>
      <c r="B446" s="1" t="n">
        <v>45686</v>
      </c>
      <c r="C446" s="1" t="n">
        <v>45718</v>
      </c>
      <c r="D446" t="inlineStr">
        <is>
          <t>HALLANDS LÄN</t>
        </is>
      </c>
      <c r="E446" t="inlineStr">
        <is>
          <t>KUNGSBACKA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4382-2025</t>
        </is>
      </c>
      <c r="B447" s="1" t="n">
        <v>45686</v>
      </c>
      <c r="C447" s="1" t="n">
        <v>45718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4644-2025</t>
        </is>
      </c>
      <c r="B448" s="1" t="n">
        <v>45687</v>
      </c>
      <c r="C448" s="1" t="n">
        <v>45718</v>
      </c>
      <c r="D448" t="inlineStr">
        <is>
          <t>HALLANDS LÄN</t>
        </is>
      </c>
      <c r="E448" t="inlineStr">
        <is>
          <t>KUNGSBACKA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4648-2025</t>
        </is>
      </c>
      <c r="B449" s="1" t="n">
        <v>45687</v>
      </c>
      <c r="C449" s="1" t="n">
        <v>45718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4985-2025</t>
        </is>
      </c>
      <c r="B450" s="1" t="n">
        <v>45691</v>
      </c>
      <c r="C450" s="1" t="n">
        <v>45718</v>
      </c>
      <c r="D450" t="inlineStr">
        <is>
          <t>HALLANDS LÄN</t>
        </is>
      </c>
      <c r="E450" t="inlineStr">
        <is>
          <t>KUNGSBACKA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6316-2025</t>
        </is>
      </c>
      <c r="B451" s="1" t="n">
        <v>45698</v>
      </c>
      <c r="C451" s="1" t="n">
        <v>45718</v>
      </c>
      <c r="D451" t="inlineStr">
        <is>
          <t>HALLANDS LÄN</t>
        </is>
      </c>
      <c r="E451" t="inlineStr">
        <is>
          <t>KUNGSBACKA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6318-2025</t>
        </is>
      </c>
      <c r="B452" s="1" t="n">
        <v>45698</v>
      </c>
      <c r="C452" s="1" t="n">
        <v>45718</v>
      </c>
      <c r="D452" t="inlineStr">
        <is>
          <t>HALLANDS LÄN</t>
        </is>
      </c>
      <c r="E452" t="inlineStr">
        <is>
          <t>KUNGSBACKA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6507-2025</t>
        </is>
      </c>
      <c r="B453" s="1" t="n">
        <v>45699</v>
      </c>
      <c r="C453" s="1" t="n">
        <v>45718</v>
      </c>
      <c r="D453" t="inlineStr">
        <is>
          <t>HALLANDS LÄN</t>
        </is>
      </c>
      <c r="E453" t="inlineStr">
        <is>
          <t>KUNGSBACKA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6513-2025</t>
        </is>
      </c>
      <c r="B454" s="1" t="n">
        <v>45699</v>
      </c>
      <c r="C454" s="1" t="n">
        <v>45718</v>
      </c>
      <c r="D454" t="inlineStr">
        <is>
          <t>HALLANDS LÄN</t>
        </is>
      </c>
      <c r="E454" t="inlineStr">
        <is>
          <t>KUNGSBACKA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6599-2025</t>
        </is>
      </c>
      <c r="B455" s="1" t="n">
        <v>45700</v>
      </c>
      <c r="C455" s="1" t="n">
        <v>45718</v>
      </c>
      <c r="D455" t="inlineStr">
        <is>
          <t>HALLANDS LÄN</t>
        </is>
      </c>
      <c r="E455" t="inlineStr">
        <is>
          <t>KUNGSBACKA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6774-2025</t>
        </is>
      </c>
      <c r="B456" s="1" t="n">
        <v>45700</v>
      </c>
      <c r="C456" s="1" t="n">
        <v>45718</v>
      </c>
      <c r="D456" t="inlineStr">
        <is>
          <t>HALLANDS LÄN</t>
        </is>
      </c>
      <c r="E456" t="inlineStr">
        <is>
          <t>KUNGSBACKA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6757-2025</t>
        </is>
      </c>
      <c r="B457" s="1" t="n">
        <v>45700</v>
      </c>
      <c r="C457" s="1" t="n">
        <v>45718</v>
      </c>
      <c r="D457" t="inlineStr">
        <is>
          <t>HALLANDS LÄN</t>
        </is>
      </c>
      <c r="E457" t="inlineStr">
        <is>
          <t>KUNGSBACKA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7069-2025</t>
        </is>
      </c>
      <c r="B458" s="1" t="n">
        <v>45701</v>
      </c>
      <c r="C458" s="1" t="n">
        <v>45718</v>
      </c>
      <c r="D458" t="inlineStr">
        <is>
          <t>HALLANDS LÄN</t>
        </is>
      </c>
      <c r="E458" t="inlineStr">
        <is>
          <t>KUNGSBACKA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7060-2025</t>
        </is>
      </c>
      <c r="B459" s="1" t="n">
        <v>45701</v>
      </c>
      <c r="C459" s="1" t="n">
        <v>45718</v>
      </c>
      <c r="D459" t="inlineStr">
        <is>
          <t>HALLANDS LÄN</t>
        </is>
      </c>
      <c r="E459" t="inlineStr">
        <is>
          <t>KUNGSBACKA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7798-2025</t>
        </is>
      </c>
      <c r="B460" s="1" t="n">
        <v>45706</v>
      </c>
      <c r="C460" s="1" t="n">
        <v>45718</v>
      </c>
      <c r="D460" t="inlineStr">
        <is>
          <t>HALLANDS LÄN</t>
        </is>
      </c>
      <c r="E460" t="inlineStr">
        <is>
          <t>KUNGSBACKA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7709-2025</t>
        </is>
      </c>
      <c r="B461" s="1" t="n">
        <v>45706</v>
      </c>
      <c r="C461" s="1" t="n">
        <v>45718</v>
      </c>
      <c r="D461" t="inlineStr">
        <is>
          <t>HALLANDS LÄN</t>
        </is>
      </c>
      <c r="E461" t="inlineStr">
        <is>
          <t>KUNGSBACKA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7718-2025</t>
        </is>
      </c>
      <c r="B462" s="1" t="n">
        <v>45706</v>
      </c>
      <c r="C462" s="1" t="n">
        <v>45718</v>
      </c>
      <c r="D462" t="inlineStr">
        <is>
          <t>HALLANDS LÄN</t>
        </is>
      </c>
      <c r="E462" t="inlineStr">
        <is>
          <t>KUNGSBACKA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7801-2025</t>
        </is>
      </c>
      <c r="B463" s="1" t="n">
        <v>45706</v>
      </c>
      <c r="C463" s="1" t="n">
        <v>45718</v>
      </c>
      <c r="D463" t="inlineStr">
        <is>
          <t>HALLANDS LÄN</t>
        </is>
      </c>
      <c r="E463" t="inlineStr">
        <is>
          <t>KUNGSBACKA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7810-2025</t>
        </is>
      </c>
      <c r="B464" s="1" t="n">
        <v>45706</v>
      </c>
      <c r="C464" s="1" t="n">
        <v>45718</v>
      </c>
      <c r="D464" t="inlineStr">
        <is>
          <t>HALLANDS LÄN</t>
        </is>
      </c>
      <c r="E464" t="inlineStr">
        <is>
          <t>KUNGSBACKA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8646-2025</t>
        </is>
      </c>
      <c r="B465" s="1" t="n">
        <v>45712</v>
      </c>
      <c r="C465" s="1" t="n">
        <v>45718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8772-2025</t>
        </is>
      </c>
      <c r="B466" s="1" t="n">
        <v>45712</v>
      </c>
      <c r="C466" s="1" t="n">
        <v>45718</v>
      </c>
      <c r="D466" t="inlineStr">
        <is>
          <t>HALLANDS LÄN</t>
        </is>
      </c>
      <c r="E466" t="inlineStr">
        <is>
          <t>KUNGSBACKA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8942-2025</t>
        </is>
      </c>
      <c r="B467" s="1" t="n">
        <v>45713</v>
      </c>
      <c r="C467" s="1" t="n">
        <v>45718</v>
      </c>
      <c r="D467" t="inlineStr">
        <is>
          <t>HALLANDS LÄN</t>
        </is>
      </c>
      <c r="E467" t="inlineStr">
        <is>
          <t>KUNGSBACKA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8947-2025</t>
        </is>
      </c>
      <c r="B468" s="1" t="n">
        <v>45713</v>
      </c>
      <c r="C468" s="1" t="n">
        <v>45718</v>
      </c>
      <c r="D468" t="inlineStr">
        <is>
          <t>HALLANDS LÄN</t>
        </is>
      </c>
      <c r="E468" t="inlineStr">
        <is>
          <t>KUNGSBACKA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2025-03-02T17:00:00Z</dcterms:created>
  <dcterms:modified xmlns:dcterms="http://purl.org/dc/terms/" xmlns:xsi="http://www.w3.org/2001/XMLSchema-instance" xsi:type="dcterms:W3CDTF">2025-03-02T17:00:00Z</dcterms:modified>
</cp:coreProperties>
</file>