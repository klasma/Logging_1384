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45845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45845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45845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45845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45845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45845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45845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45845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45845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45845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45845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45845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45845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44638-2022</t>
        </is>
      </c>
      <c r="B15" s="1" t="n">
        <v>44840</v>
      </c>
      <c r="C15" s="1" t="n">
        <v>45845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52318-2022</t>
        </is>
      </c>
      <c r="B16" s="1" t="n">
        <v>44873</v>
      </c>
      <c r="C16" s="1" t="n">
        <v>45845</v>
      </c>
      <c r="D16" t="inlineStr">
        <is>
          <t>HALLANDS LÄN</t>
        </is>
      </c>
      <c r="E16" t="inlineStr">
        <is>
          <t>KUNGSBACKA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HYPERLINK("https://klasma.github.io/Logging_1384/artfynd/A 52318-2022 artfynd.xlsx", "A 52318-2022")</f>
        <v/>
      </c>
      <c r="T16">
        <f>HYPERLINK("https://klasma.github.io/Logging_1384/kartor/A 52318-2022 karta.png", "A 52318-2022")</f>
        <v/>
      </c>
      <c r="V16">
        <f>HYPERLINK("https://klasma.github.io/Logging_1384/klagomål/A 52318-2022 FSC-klagomål.docx", "A 52318-2022")</f>
        <v/>
      </c>
      <c r="W16">
        <f>HYPERLINK("https://klasma.github.io/Logging_1384/klagomålsmail/A 52318-2022 FSC-klagomål mail.docx", "A 52318-2022")</f>
        <v/>
      </c>
      <c r="X16">
        <f>HYPERLINK("https://klasma.github.io/Logging_1384/tillsyn/A 52318-2022 tillsynsbegäran.docx", "A 52318-2022")</f>
        <v/>
      </c>
      <c r="Y16">
        <f>HYPERLINK("https://klasma.github.io/Logging_1384/tillsynsmail/A 52318-2022 tillsynsbegäran mail.docx", "A 52318-2022")</f>
        <v/>
      </c>
    </row>
    <row r="17" ht="15" customHeight="1">
      <c r="A17" t="inlineStr">
        <is>
          <t>A 9006-2023</t>
        </is>
      </c>
      <c r="B17" s="1" t="n">
        <v>44979</v>
      </c>
      <c r="C17" s="1" t="n">
        <v>45845</v>
      </c>
      <c r="D17" t="inlineStr">
        <is>
          <t>HALLANDS LÄN</t>
        </is>
      </c>
      <c r="E17" t="inlineStr">
        <is>
          <t>KUNGSBACKA</t>
        </is>
      </c>
      <c r="G17" t="n">
        <v>13.5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HYPERLINK("https://klasma.github.io/Logging_1384/artfynd/A 9006-2023 artfynd.xlsx", "A 9006-2023")</f>
        <v/>
      </c>
      <c r="T17">
        <f>HYPERLINK("https://klasma.github.io/Logging_1384/kartor/A 9006-2023 karta.png", "A 9006-2023")</f>
        <v/>
      </c>
      <c r="V17">
        <f>HYPERLINK("https://klasma.github.io/Logging_1384/klagomål/A 9006-2023 FSC-klagomål.docx", "A 9006-2023")</f>
        <v/>
      </c>
      <c r="W17">
        <f>HYPERLINK("https://klasma.github.io/Logging_1384/klagomålsmail/A 9006-2023 FSC-klagomål mail.docx", "A 9006-2023")</f>
        <v/>
      </c>
      <c r="X17">
        <f>HYPERLINK("https://klasma.github.io/Logging_1384/tillsyn/A 9006-2023 tillsynsbegäran.docx", "A 9006-2023")</f>
        <v/>
      </c>
      <c r="Y17">
        <f>HYPERLINK("https://klasma.github.io/Logging_1384/tillsynsmail/A 9006-2023 tillsynsbegäran mail.docx", "A 9006-2023")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45845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45845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2988-2024</t>
        </is>
      </c>
      <c r="B20" s="1" t="n">
        <v>45315</v>
      </c>
      <c r="C20" s="1" t="n">
        <v>45845</v>
      </c>
      <c r="D20" t="inlineStr">
        <is>
          <t>HALLANDS LÄN</t>
        </is>
      </c>
      <c r="E20" t="inlineStr">
        <is>
          <t>KUNGSBACKA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2988-2024 artfynd.xlsx", "A 2988-2024")</f>
        <v/>
      </c>
      <c r="T20">
        <f>HYPERLINK("https://klasma.github.io/Logging_1384/kartor/A 2988-2024 karta.png", "A 2988-2024")</f>
        <v/>
      </c>
      <c r="V20">
        <f>HYPERLINK("https://klasma.github.io/Logging_1384/klagomål/A 2988-2024 FSC-klagomål.docx", "A 2988-2024")</f>
        <v/>
      </c>
      <c r="W20">
        <f>HYPERLINK("https://klasma.github.io/Logging_1384/klagomålsmail/A 2988-2024 FSC-klagomål mail.docx", "A 2988-2024")</f>
        <v/>
      </c>
      <c r="X20">
        <f>HYPERLINK("https://klasma.github.io/Logging_1384/tillsyn/A 2988-2024 tillsynsbegäran.docx", "A 2988-2024")</f>
        <v/>
      </c>
      <c r="Y20">
        <f>HYPERLINK("https://klasma.github.io/Logging_1384/tillsynsmail/A 2988-2024 tillsynsbegäran mail.docx", "A 2988-2024")</f>
        <v/>
      </c>
    </row>
    <row r="21" ht="15" customHeight="1">
      <c r="A21" t="inlineStr">
        <is>
          <t>A 34740-2024</t>
        </is>
      </c>
      <c r="B21" s="1" t="n">
        <v>45526</v>
      </c>
      <c r="C21" s="1" t="n">
        <v>45845</v>
      </c>
      <c r="D21" t="inlineStr">
        <is>
          <t>HALLANDS LÄN</t>
        </is>
      </c>
      <c r="E21" t="inlineStr">
        <is>
          <t>KUNGSBACKA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34740-2024 artfynd.xlsx", "A 34740-2024")</f>
        <v/>
      </c>
      <c r="T21">
        <f>HYPERLINK("https://klasma.github.io/Logging_1384/kartor/A 34740-2024 karta.png", "A 34740-2024")</f>
        <v/>
      </c>
      <c r="V21">
        <f>HYPERLINK("https://klasma.github.io/Logging_1384/klagomål/A 34740-2024 FSC-klagomål.docx", "A 34740-2024")</f>
        <v/>
      </c>
      <c r="W21">
        <f>HYPERLINK("https://klasma.github.io/Logging_1384/klagomålsmail/A 34740-2024 FSC-klagomål mail.docx", "A 34740-2024")</f>
        <v/>
      </c>
      <c r="X21">
        <f>HYPERLINK("https://klasma.github.io/Logging_1384/tillsyn/A 34740-2024 tillsynsbegäran.docx", "A 34740-2024")</f>
        <v/>
      </c>
      <c r="Y21">
        <f>HYPERLINK("https://klasma.github.io/Logging_1384/tillsynsmail/A 34740-2024 tillsynsbegäran mail.docx", "A 34740-2024")</f>
        <v/>
      </c>
    </row>
    <row r="22" ht="15" customHeight="1">
      <c r="A22" t="inlineStr">
        <is>
          <t>A 34772-2024</t>
        </is>
      </c>
      <c r="B22" s="1" t="n">
        <v>45526</v>
      </c>
      <c r="C22" s="1" t="n">
        <v>45845</v>
      </c>
      <c r="D22" t="inlineStr">
        <is>
          <t>HALLANDS LÄN</t>
        </is>
      </c>
      <c r="E22" t="inlineStr">
        <is>
          <t>KUNGSBACKA</t>
        </is>
      </c>
      <c r="G22" t="n">
        <v>13.2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HYPERLINK("https://klasma.github.io/Logging_1384/artfynd/A 34772-2024 artfynd.xlsx", "A 34772-2024")</f>
        <v/>
      </c>
      <c r="T22">
        <f>HYPERLINK("https://klasma.github.io/Logging_1384/kartor/A 34772-2024 karta.png", "A 34772-2024")</f>
        <v/>
      </c>
      <c r="V22">
        <f>HYPERLINK("https://klasma.github.io/Logging_1384/klagomål/A 34772-2024 FSC-klagomål.docx", "A 34772-2024")</f>
        <v/>
      </c>
      <c r="W22">
        <f>HYPERLINK("https://klasma.github.io/Logging_1384/klagomålsmail/A 34772-2024 FSC-klagomål mail.docx", "A 34772-2024")</f>
        <v/>
      </c>
      <c r="X22">
        <f>HYPERLINK("https://klasma.github.io/Logging_1384/tillsyn/A 34772-2024 tillsynsbegäran.docx", "A 34772-2024")</f>
        <v/>
      </c>
      <c r="Y22">
        <f>HYPERLINK("https://klasma.github.io/Logging_1384/tillsynsmail/A 34772-2024 tillsynsbegäran mail.docx", "A 34772-2024")</f>
        <v/>
      </c>
    </row>
    <row r="23" ht="15" customHeight="1">
      <c r="A23" t="inlineStr">
        <is>
          <t>A 10124-2025</t>
        </is>
      </c>
      <c r="B23" s="1" t="n">
        <v>45719</v>
      </c>
      <c r="C23" s="1" t="n">
        <v>45845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Fiskmås</t>
        </is>
      </c>
      <c r="S23">
        <f>HYPERLINK("https://klasma.github.io/Logging_131384/artfynd/A 10124-2025 artfynd.xlsx", "A 10124-2025")</f>
        <v/>
      </c>
      <c r="T23">
        <f>HYPERLINK("https://klasma.github.io/Logging_131384/kartor/A 10124-2025 karta.png", "A 10124-2025")</f>
        <v/>
      </c>
      <c r="V23">
        <f>HYPERLINK("https://klasma.github.io/Logging_131384/klagomål/A 10124-2025 FSC-klagomål.docx", "A 10124-2025")</f>
        <v/>
      </c>
      <c r="W23">
        <f>HYPERLINK("https://klasma.github.io/Logging_131384/klagomålsmail/A 10124-2025 FSC-klagomål mail.docx", "A 10124-2025")</f>
        <v/>
      </c>
      <c r="X23">
        <f>HYPERLINK("https://klasma.github.io/Logging_131384/tillsyn/A 10124-2025 tillsynsbegäran.docx", "A 10124-2025")</f>
        <v/>
      </c>
      <c r="Y23">
        <f>HYPERLINK("https://klasma.github.io/Logging_131384/tillsynsmail/A 10124-2025 tillsynsbegäran mail.docx", "A 10124-2025")</f>
        <v/>
      </c>
    </row>
    <row r="24" ht="15" customHeight="1">
      <c r="A24" t="inlineStr">
        <is>
          <t>A 11010-2025</t>
        </is>
      </c>
      <c r="B24" s="1" t="n">
        <v>45723</v>
      </c>
      <c r="C24" s="1" t="n">
        <v>45845</v>
      </c>
      <c r="D24" t="inlineStr">
        <is>
          <t>HALLANDS LÄN</t>
        </is>
      </c>
      <c r="E24" t="inlineStr">
        <is>
          <t>KUNGSBACKA</t>
        </is>
      </c>
      <c r="G24" t="n">
        <v>12.4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HYPERLINK("https://klasma.github.io/Logging_131384/artfynd/A 11010-2025 artfynd.xlsx", "A 11010-2025")</f>
        <v/>
      </c>
      <c r="T24">
        <f>HYPERLINK("https://klasma.github.io/Logging_131384/kartor/A 11010-2025 karta.png", "A 11010-2025")</f>
        <v/>
      </c>
      <c r="V24">
        <f>HYPERLINK("https://klasma.github.io/Logging_131384/klagomål/A 11010-2025 FSC-klagomål.docx", "A 11010-2025")</f>
        <v/>
      </c>
      <c r="W24">
        <f>HYPERLINK("https://klasma.github.io/Logging_131384/klagomålsmail/A 11010-2025 FSC-klagomål mail.docx", "A 11010-2025")</f>
        <v/>
      </c>
      <c r="X24">
        <f>HYPERLINK("https://klasma.github.io/Logging_131384/tillsyn/A 11010-2025 tillsynsbegäran.docx", "A 11010-2025")</f>
        <v/>
      </c>
      <c r="Y24">
        <f>HYPERLINK("https://klasma.github.io/Logging_131384/tillsynsmail/A 11010-2025 tillsynsbegäran mail.docx", "A 11010-2025")</f>
        <v/>
      </c>
    </row>
    <row r="25" ht="15" customHeight="1">
      <c r="A25" t="inlineStr">
        <is>
          <t>A 13932-2025</t>
        </is>
      </c>
      <c r="B25" s="1" t="n">
        <v>45737</v>
      </c>
      <c r="C25" s="1" t="n">
        <v>45845</v>
      </c>
      <c r="D25" t="inlineStr">
        <is>
          <t>HALLANDS LÄN</t>
        </is>
      </c>
      <c r="E25" t="inlineStr">
        <is>
          <t>KUNGSBACKA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HYPERLINK("https://klasma.github.io/Logging_131384/artfynd/A 13932-2025 artfynd.xlsx", "A 13932-2025")</f>
        <v/>
      </c>
      <c r="T25">
        <f>HYPERLINK("https://klasma.github.io/Logging_131384/kartor/A 13932-2025 karta.png", "A 13932-2025")</f>
        <v/>
      </c>
      <c r="V25">
        <f>HYPERLINK("https://klasma.github.io/Logging_131384/klagomål/A 13932-2025 FSC-klagomål.docx", "A 13932-2025")</f>
        <v/>
      </c>
      <c r="W25">
        <f>HYPERLINK("https://klasma.github.io/Logging_131384/klagomålsmail/A 13932-2025 FSC-klagomål mail.docx", "A 13932-2025")</f>
        <v/>
      </c>
      <c r="X25">
        <f>HYPERLINK("https://klasma.github.io/Logging_131384/tillsyn/A 13932-2025 tillsynsbegäran.docx", "A 13932-2025")</f>
        <v/>
      </c>
      <c r="Y25">
        <f>HYPERLINK("https://klasma.github.io/Logging_131384/tillsynsmail/A 13932-2025 tillsynsbegäran mail.docx", "A 13932-2025")</f>
        <v/>
      </c>
    </row>
    <row r="26" ht="15" customHeight="1">
      <c r="A26" t="inlineStr">
        <is>
          <t>A 17886-2019</t>
        </is>
      </c>
      <c r="B26" s="1" t="n">
        <v>43557</v>
      </c>
      <c r="C26" s="1" t="n">
        <v>45845</v>
      </c>
      <c r="D26" t="inlineStr">
        <is>
          <t>HALLANDS LÄN</t>
        </is>
      </c>
      <c r="E26" t="inlineStr">
        <is>
          <t>KUNGSBACKA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19013-2019</t>
        </is>
      </c>
      <c r="B27" s="1" t="n">
        <v>43563</v>
      </c>
      <c r="C27" s="1" t="n">
        <v>45845</v>
      </c>
      <c r="D27" t="inlineStr">
        <is>
          <t>HALLANDS LÄN</t>
        </is>
      </c>
      <c r="E27" t="inlineStr">
        <is>
          <t>KUNGSBACKA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19331-2019</t>
        </is>
      </c>
      <c r="B28" s="1" t="n">
        <v>43565</v>
      </c>
      <c r="C28" s="1" t="n">
        <v>45845</v>
      </c>
      <c r="D28" t="inlineStr">
        <is>
          <t>HALLANDS LÄN</t>
        </is>
      </c>
      <c r="E28" t="inlineStr">
        <is>
          <t>KUNGSBACKA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21505-2019</t>
        </is>
      </c>
      <c r="B29" s="1" t="n">
        <v>43580</v>
      </c>
      <c r="C29" s="1" t="n">
        <v>45845</v>
      </c>
      <c r="D29" t="inlineStr">
        <is>
          <t>HALLANDS LÄN</t>
        </is>
      </c>
      <c r="E29" t="inlineStr">
        <is>
          <t>KUNGSBACKA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21996-2019</t>
        </is>
      </c>
      <c r="B30" s="1" t="n">
        <v>43584</v>
      </c>
      <c r="C30" s="1" t="n">
        <v>45845</v>
      </c>
      <c r="D30" t="inlineStr">
        <is>
          <t>HALLANDS LÄN</t>
        </is>
      </c>
      <c r="E30" t="inlineStr">
        <is>
          <t>KUNGSBACKA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22474-2019</t>
        </is>
      </c>
      <c r="B31" s="1" t="n">
        <v>43587</v>
      </c>
      <c r="C31" s="1" t="n">
        <v>45845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23857-2019</t>
        </is>
      </c>
      <c r="B32" s="1" t="n">
        <v>43595</v>
      </c>
      <c r="C32" s="1" t="n">
        <v>45845</v>
      </c>
      <c r="D32" t="inlineStr">
        <is>
          <t>HALLANDS LÄN</t>
        </is>
      </c>
      <c r="E32" t="inlineStr">
        <is>
          <t>KUNGSBACKA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25536-2019</t>
        </is>
      </c>
      <c r="B33" s="1" t="n">
        <v>43606</v>
      </c>
      <c r="C33" s="1" t="n">
        <v>45845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27467-2019</t>
        </is>
      </c>
      <c r="B34" s="1" t="n">
        <v>43619</v>
      </c>
      <c r="C34" s="1" t="n">
        <v>45845</v>
      </c>
      <c r="D34" t="inlineStr">
        <is>
          <t>HALLANDS LÄN</t>
        </is>
      </c>
      <c r="E34" t="inlineStr">
        <is>
          <t>KUNGSBACKA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28032-2019</t>
        </is>
      </c>
      <c r="B35" s="1" t="n">
        <v>43621</v>
      </c>
      <c r="C35" s="1" t="n">
        <v>45845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28459-2019</t>
        </is>
      </c>
      <c r="B36" s="1" t="n">
        <v>43626</v>
      </c>
      <c r="C36" s="1" t="n">
        <v>45845</v>
      </c>
      <c r="D36" t="inlineStr">
        <is>
          <t>HALLANDS LÄN</t>
        </is>
      </c>
      <c r="E36" t="inlineStr">
        <is>
          <t>KUNGSBACKA</t>
        </is>
      </c>
      <c r="G36" t="n">
        <v>11.2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31498-2019</t>
        </is>
      </c>
      <c r="B37" s="1" t="n">
        <v>43641</v>
      </c>
      <c r="C37" s="1" t="n">
        <v>45845</v>
      </c>
      <c r="D37" t="inlineStr">
        <is>
          <t>HALLANDS LÄN</t>
        </is>
      </c>
      <c r="E37" t="inlineStr">
        <is>
          <t>KUNGSBACKA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32059-2019</t>
        </is>
      </c>
      <c r="B38" s="1" t="n">
        <v>43643</v>
      </c>
      <c r="C38" s="1" t="n">
        <v>45845</v>
      </c>
      <c r="D38" t="inlineStr">
        <is>
          <t>HALLANDS LÄN</t>
        </is>
      </c>
      <c r="E38" t="inlineStr">
        <is>
          <t>KUNGSBACKA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32437-2019</t>
        </is>
      </c>
      <c r="B39" s="1" t="n">
        <v>43644</v>
      </c>
      <c r="C39" s="1" t="n">
        <v>45845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33205-2019</t>
        </is>
      </c>
      <c r="B40" s="1" t="n">
        <v>43649</v>
      </c>
      <c r="C40" s="1" t="n">
        <v>45845</v>
      </c>
      <c r="D40" t="inlineStr">
        <is>
          <t>HALLANDS LÄN</t>
        </is>
      </c>
      <c r="E40" t="inlineStr">
        <is>
          <t>KUNGSBACKA</t>
        </is>
      </c>
      <c r="F40" t="inlineStr">
        <is>
          <t>Kyrkan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35274-2019</t>
        </is>
      </c>
      <c r="B41" s="1" t="n">
        <v>43662</v>
      </c>
      <c r="C41" s="1" t="n">
        <v>45845</v>
      </c>
      <c r="D41" t="inlineStr">
        <is>
          <t>HALLANDS LÄN</t>
        </is>
      </c>
      <c r="E41" t="inlineStr">
        <is>
          <t>KUNGSBACKA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35263-2019</t>
        </is>
      </c>
      <c r="B42" s="1" t="n">
        <v>43662</v>
      </c>
      <c r="C42" s="1" t="n">
        <v>45845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35265-2019</t>
        </is>
      </c>
      <c r="B43" s="1" t="n">
        <v>43662</v>
      </c>
      <c r="C43" s="1" t="n">
        <v>45845</v>
      </c>
      <c r="D43" t="inlineStr">
        <is>
          <t>HALLANDS LÄN</t>
        </is>
      </c>
      <c r="E43" t="inlineStr">
        <is>
          <t>KUNGSBACKA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35446-2019</t>
        </is>
      </c>
      <c r="B44" s="1" t="n">
        <v>43663</v>
      </c>
      <c r="C44" s="1" t="n">
        <v>45845</v>
      </c>
      <c r="D44" t="inlineStr">
        <is>
          <t>HALLANDS LÄN</t>
        </is>
      </c>
      <c r="E44" t="inlineStr">
        <is>
          <t>KUNGSBACKA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42233-2019</t>
        </is>
      </c>
      <c r="B45" s="1" t="n">
        <v>43703</v>
      </c>
      <c r="C45" s="1" t="n">
        <v>45845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43453-2019</t>
        </is>
      </c>
      <c r="B46" s="1" t="n">
        <v>43704</v>
      </c>
      <c r="C46" s="1" t="n">
        <v>45845</v>
      </c>
      <c r="D46" t="inlineStr">
        <is>
          <t>HALLANDS LÄN</t>
        </is>
      </c>
      <c r="E46" t="inlineStr">
        <is>
          <t>KUNGSBACKA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43936-2019</t>
        </is>
      </c>
      <c r="B47" s="1" t="n">
        <v>43707</v>
      </c>
      <c r="C47" s="1" t="n">
        <v>45845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51495-2019</t>
        </is>
      </c>
      <c r="B48" s="1" t="n">
        <v>43740</v>
      </c>
      <c r="C48" s="1" t="n">
        <v>45845</v>
      </c>
      <c r="D48" t="inlineStr">
        <is>
          <t>HALLANDS LÄN</t>
        </is>
      </c>
      <c r="E48" t="inlineStr">
        <is>
          <t>KUNGSBACKA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52007-2019</t>
        </is>
      </c>
      <c r="B49" s="1" t="n">
        <v>43742</v>
      </c>
      <c r="C49" s="1" t="n">
        <v>45845</v>
      </c>
      <c r="D49" t="inlineStr">
        <is>
          <t>HALLANDS LÄN</t>
        </is>
      </c>
      <c r="E49" t="inlineStr">
        <is>
          <t>KUNGSBACKA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53288-2019</t>
        </is>
      </c>
      <c r="B50" s="1" t="n">
        <v>43748</v>
      </c>
      <c r="C50" s="1" t="n">
        <v>45845</v>
      </c>
      <c r="D50" t="inlineStr">
        <is>
          <t>HALLANDS LÄN</t>
        </is>
      </c>
      <c r="E50" t="inlineStr">
        <is>
          <t>KUNGSBACKA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54537-2019</t>
        </is>
      </c>
      <c r="B51" s="1" t="n">
        <v>43754</v>
      </c>
      <c r="C51" s="1" t="n">
        <v>45845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54535-2019</t>
        </is>
      </c>
      <c r="B52" s="1" t="n">
        <v>43754</v>
      </c>
      <c r="C52" s="1" t="n">
        <v>45845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54530-2019</t>
        </is>
      </c>
      <c r="B53" s="1" t="n">
        <v>43754</v>
      </c>
      <c r="C53" s="1" t="n">
        <v>45845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54533-2019</t>
        </is>
      </c>
      <c r="B54" s="1" t="n">
        <v>43754</v>
      </c>
      <c r="C54" s="1" t="n">
        <v>45845</v>
      </c>
      <c r="D54" t="inlineStr">
        <is>
          <t>HALLANDS LÄN</t>
        </is>
      </c>
      <c r="E54" t="inlineStr">
        <is>
          <t>KUNGSBACKA</t>
        </is>
      </c>
      <c r="F54" t="inlineStr">
        <is>
          <t>Sveaskog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6980-2020</t>
        </is>
      </c>
      <c r="B55" s="1" t="n">
        <v>43868</v>
      </c>
      <c r="C55" s="1" t="n">
        <v>45845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10195-2020</t>
        </is>
      </c>
      <c r="B56" s="1" t="n">
        <v>43885</v>
      </c>
      <c r="C56" s="1" t="n">
        <v>45845</v>
      </c>
      <c r="D56" t="inlineStr">
        <is>
          <t>HALLANDS LÄN</t>
        </is>
      </c>
      <c r="E56" t="inlineStr">
        <is>
          <t>KUNGSBACKA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10370-2020</t>
        </is>
      </c>
      <c r="B57" s="1" t="n">
        <v>43885</v>
      </c>
      <c r="C57" s="1" t="n">
        <v>45845</v>
      </c>
      <c r="D57" t="inlineStr">
        <is>
          <t>HALLANDS LÄN</t>
        </is>
      </c>
      <c r="E57" t="inlineStr">
        <is>
          <t>KUNGSBACKA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11459-2020</t>
        </is>
      </c>
      <c r="B58" s="1" t="n">
        <v>43893</v>
      </c>
      <c r="C58" s="1" t="n">
        <v>45845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13631-2020</t>
        </is>
      </c>
      <c r="B59" s="1" t="n">
        <v>43903</v>
      </c>
      <c r="C59" s="1" t="n">
        <v>45845</v>
      </c>
      <c r="D59" t="inlineStr">
        <is>
          <t>HALLANDS LÄN</t>
        </is>
      </c>
      <c r="E59" t="inlineStr">
        <is>
          <t>KUNGSBACKA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14299-2020</t>
        </is>
      </c>
      <c r="B60" s="1" t="n">
        <v>43907</v>
      </c>
      <c r="C60" s="1" t="n">
        <v>45845</v>
      </c>
      <c r="D60" t="inlineStr">
        <is>
          <t>HALLANDS LÄN</t>
        </is>
      </c>
      <c r="E60" t="inlineStr">
        <is>
          <t>KUNGSBACKA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14296-2020</t>
        </is>
      </c>
      <c r="B61" s="1" t="n">
        <v>43907</v>
      </c>
      <c r="C61" s="1" t="n">
        <v>45845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16250-2020</t>
        </is>
      </c>
      <c r="B62" s="1" t="n">
        <v>43917</v>
      </c>
      <c r="C62" s="1" t="n">
        <v>45845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16902-2020</t>
        </is>
      </c>
      <c r="B63" s="1" t="n">
        <v>43921</v>
      </c>
      <c r="C63" s="1" t="n">
        <v>45845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17258-2020</t>
        </is>
      </c>
      <c r="B64" s="1" t="n">
        <v>43922</v>
      </c>
      <c r="C64" s="1" t="n">
        <v>45845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18328-2020</t>
        </is>
      </c>
      <c r="B65" s="1" t="n">
        <v>43928</v>
      </c>
      <c r="C65" s="1" t="n">
        <v>45845</v>
      </c>
      <c r="D65" t="inlineStr">
        <is>
          <t>HALLANDS LÄN</t>
        </is>
      </c>
      <c r="E65" t="inlineStr">
        <is>
          <t>KUNGSBACKA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18321-2020</t>
        </is>
      </c>
      <c r="B66" s="1" t="n">
        <v>43928</v>
      </c>
      <c r="C66" s="1" t="n">
        <v>45845</v>
      </c>
      <c r="D66" t="inlineStr">
        <is>
          <t>HALLANDS LÄN</t>
        </is>
      </c>
      <c r="E66" t="inlineStr">
        <is>
          <t>KUNGSBACKA</t>
        </is>
      </c>
      <c r="G66" t="n">
        <v>12.4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21678-2020</t>
        </is>
      </c>
      <c r="B67" s="1" t="n">
        <v>43957</v>
      </c>
      <c r="C67" s="1" t="n">
        <v>45845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22014-2020</t>
        </is>
      </c>
      <c r="B68" s="1" t="n">
        <v>43959</v>
      </c>
      <c r="C68" s="1" t="n">
        <v>45845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23226-2020</t>
        </is>
      </c>
      <c r="B69" s="1" t="n">
        <v>43966</v>
      </c>
      <c r="C69" s="1" t="n">
        <v>45845</v>
      </c>
      <c r="D69" t="inlineStr">
        <is>
          <t>HALLANDS LÄN</t>
        </is>
      </c>
      <c r="E69" t="inlineStr">
        <is>
          <t>KUNGSBACKA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24631-2020</t>
        </is>
      </c>
      <c r="B70" s="1" t="n">
        <v>43977</v>
      </c>
      <c r="C70" s="1" t="n">
        <v>45845</v>
      </c>
      <c r="D70" t="inlineStr">
        <is>
          <t>HALLANDS LÄN</t>
        </is>
      </c>
      <c r="E70" t="inlineStr">
        <is>
          <t>KUNGSBACKA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24634-2020</t>
        </is>
      </c>
      <c r="B71" s="1" t="n">
        <v>43977</v>
      </c>
      <c r="C71" s="1" t="n">
        <v>45845</v>
      </c>
      <c r="D71" t="inlineStr">
        <is>
          <t>HALLANDS LÄN</t>
        </is>
      </c>
      <c r="E71" t="inlineStr">
        <is>
          <t>KUNGSBACKA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25960-2020</t>
        </is>
      </c>
      <c r="B72" s="1" t="n">
        <v>43985</v>
      </c>
      <c r="C72" s="1" t="n">
        <v>45845</v>
      </c>
      <c r="D72" t="inlineStr">
        <is>
          <t>HALLANDS LÄN</t>
        </is>
      </c>
      <c r="E72" t="inlineStr">
        <is>
          <t>KUNGSBACKA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28111-2020</t>
        </is>
      </c>
      <c r="B73" s="1" t="n">
        <v>43994</v>
      </c>
      <c r="C73" s="1" t="n">
        <v>45845</v>
      </c>
      <c r="D73" t="inlineStr">
        <is>
          <t>HALLANDS LÄN</t>
        </is>
      </c>
      <c r="E73" t="inlineStr">
        <is>
          <t>KUNGSBACKA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29629-2020</t>
        </is>
      </c>
      <c r="B74" s="1" t="n">
        <v>44005</v>
      </c>
      <c r="C74" s="1" t="n">
        <v>45845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31104-2020</t>
        </is>
      </c>
      <c r="B75" s="1" t="n">
        <v>44012</v>
      </c>
      <c r="C75" s="1" t="n">
        <v>45845</v>
      </c>
      <c r="D75" t="inlineStr">
        <is>
          <t>HALLANDS LÄN</t>
        </is>
      </c>
      <c r="E75" t="inlineStr">
        <is>
          <t>KUNGSBACKA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33528-2020</t>
        </is>
      </c>
      <c r="B76" s="1" t="n">
        <v>44025</v>
      </c>
      <c r="C76" s="1" t="n">
        <v>45845</v>
      </c>
      <c r="D76" t="inlineStr">
        <is>
          <t>HALLANDS LÄN</t>
        </is>
      </c>
      <c r="E76" t="inlineStr">
        <is>
          <t>KUNGSBACKA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34936-2020</t>
        </is>
      </c>
      <c r="B77" s="1" t="n">
        <v>44037</v>
      </c>
      <c r="C77" s="1" t="n">
        <v>45845</v>
      </c>
      <c r="D77" t="inlineStr">
        <is>
          <t>HALLANDS LÄN</t>
        </is>
      </c>
      <c r="E77" t="inlineStr">
        <is>
          <t>KUNGSBACKA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34964-2020</t>
        </is>
      </c>
      <c r="B78" s="1" t="n">
        <v>44039</v>
      </c>
      <c r="C78" s="1" t="n">
        <v>45845</v>
      </c>
      <c r="D78" t="inlineStr">
        <is>
          <t>HALLANDS LÄN</t>
        </is>
      </c>
      <c r="E78" t="inlineStr">
        <is>
          <t>KUNGSBACKA</t>
        </is>
      </c>
      <c r="F78" t="inlineStr">
        <is>
          <t>Sveaskog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35275-2020</t>
        </is>
      </c>
      <c r="B79" s="1" t="n">
        <v>44041</v>
      </c>
      <c r="C79" s="1" t="n">
        <v>45845</v>
      </c>
      <c r="D79" t="inlineStr">
        <is>
          <t>HALLANDS LÄN</t>
        </is>
      </c>
      <c r="E79" t="inlineStr">
        <is>
          <t>KUNGSBACKA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35667-2020</t>
        </is>
      </c>
      <c r="B80" s="1" t="n">
        <v>44046</v>
      </c>
      <c r="C80" s="1" t="n">
        <v>45845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51155-2020</t>
        </is>
      </c>
      <c r="B81" s="1" t="n">
        <v>44112</v>
      </c>
      <c r="C81" s="1" t="n">
        <v>45845</v>
      </c>
      <c r="D81" t="inlineStr">
        <is>
          <t>HALLANDS LÄN</t>
        </is>
      </c>
      <c r="E81" t="inlineStr">
        <is>
          <t>KUNGSBACKA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51198-2020</t>
        </is>
      </c>
      <c r="B82" s="1" t="n">
        <v>44112</v>
      </c>
      <c r="C82" s="1" t="n">
        <v>45845</v>
      </c>
      <c r="D82" t="inlineStr">
        <is>
          <t>HALLANDS LÄN</t>
        </is>
      </c>
      <c r="E82" t="inlineStr">
        <is>
          <t>KUNGSBACKA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52369-2020</t>
        </is>
      </c>
      <c r="B83" s="1" t="n">
        <v>44112</v>
      </c>
      <c r="C83" s="1" t="n">
        <v>45845</v>
      </c>
      <c r="D83" t="inlineStr">
        <is>
          <t>HALLANDS LÄN</t>
        </is>
      </c>
      <c r="E83" t="inlineStr">
        <is>
          <t>KUNGSBACKA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51417-2020</t>
        </is>
      </c>
      <c r="B84" s="1" t="n">
        <v>44113</v>
      </c>
      <c r="C84" s="1" t="n">
        <v>45845</v>
      </c>
      <c r="D84" t="inlineStr">
        <is>
          <t>HALLANDS LÄN</t>
        </is>
      </c>
      <c r="E84" t="inlineStr">
        <is>
          <t>KUNGSBACKA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55049-2020</t>
        </is>
      </c>
      <c r="B85" s="1" t="n">
        <v>44130</v>
      </c>
      <c r="C85" s="1" t="n">
        <v>45845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56629-2020</t>
        </is>
      </c>
      <c r="B86" s="1" t="n">
        <v>44137</v>
      </c>
      <c r="C86" s="1" t="n">
        <v>45845</v>
      </c>
      <c r="D86" t="inlineStr">
        <is>
          <t>HALLANDS LÄN</t>
        </is>
      </c>
      <c r="E86" t="inlineStr">
        <is>
          <t>KUNGSBACKA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56959-2020</t>
        </is>
      </c>
      <c r="B87" s="1" t="n">
        <v>44138</v>
      </c>
      <c r="C87" s="1" t="n">
        <v>45845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60790-2020</t>
        </is>
      </c>
      <c r="B88" s="1" t="n">
        <v>44154</v>
      </c>
      <c r="C88" s="1" t="n">
        <v>45845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62753-2020</t>
        </is>
      </c>
      <c r="B89" s="1" t="n">
        <v>44161</v>
      </c>
      <c r="C89" s="1" t="n">
        <v>45845</v>
      </c>
      <c r="D89" t="inlineStr">
        <is>
          <t>HALLANDS LÄN</t>
        </is>
      </c>
      <c r="E89" t="inlineStr">
        <is>
          <t>KUNGSBACKA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62944-2020</t>
        </is>
      </c>
      <c r="B90" s="1" t="n">
        <v>44162</v>
      </c>
      <c r="C90" s="1" t="n">
        <v>45845</v>
      </c>
      <c r="D90" t="inlineStr">
        <is>
          <t>HALLANDS LÄN</t>
        </is>
      </c>
      <c r="E90" t="inlineStr">
        <is>
          <t>KUNGSBACKA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66004-2020</t>
        </is>
      </c>
      <c r="B91" s="1" t="n">
        <v>44175</v>
      </c>
      <c r="C91" s="1" t="n">
        <v>45845</v>
      </c>
      <c r="D91" t="inlineStr">
        <is>
          <t>HALLANDS LÄN</t>
        </is>
      </c>
      <c r="E91" t="inlineStr">
        <is>
          <t>KUNGSBACKA</t>
        </is>
      </c>
      <c r="F91" t="inlineStr">
        <is>
          <t>Övriga Aktiebolag</t>
        </is>
      </c>
      <c r="G91" t="n">
        <v>17.3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68618-2020</t>
        </is>
      </c>
      <c r="B92" s="1" t="n">
        <v>44186</v>
      </c>
      <c r="C92" s="1" t="n">
        <v>45845</v>
      </c>
      <c r="D92" t="inlineStr">
        <is>
          <t>HALLANDS LÄN</t>
        </is>
      </c>
      <c r="E92" t="inlineStr">
        <is>
          <t>KUNGSBACKA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68617-2020</t>
        </is>
      </c>
      <c r="B93" s="1" t="n">
        <v>44186</v>
      </c>
      <c r="C93" s="1" t="n">
        <v>45845</v>
      </c>
      <c r="D93" t="inlineStr">
        <is>
          <t>HALLANDS LÄN</t>
        </is>
      </c>
      <c r="E93" t="inlineStr">
        <is>
          <t>KUNGSBACKA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68588-2020</t>
        </is>
      </c>
      <c r="B94" s="1" t="n">
        <v>44186</v>
      </c>
      <c r="C94" s="1" t="n">
        <v>45845</v>
      </c>
      <c r="D94" t="inlineStr">
        <is>
          <t>HALLANDS LÄN</t>
        </is>
      </c>
      <c r="E94" t="inlineStr">
        <is>
          <t>KUNGSBACKA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149-2021</t>
        </is>
      </c>
      <c r="B95" s="1" t="n">
        <v>44200</v>
      </c>
      <c r="C95" s="1" t="n">
        <v>45845</v>
      </c>
      <c r="D95" t="inlineStr">
        <is>
          <t>HALLANDS LÄN</t>
        </is>
      </c>
      <c r="E95" t="inlineStr">
        <is>
          <t>KUNGSBACKA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3355-2021</t>
        </is>
      </c>
      <c r="B96" s="1" t="n">
        <v>44217</v>
      </c>
      <c r="C96" s="1" t="n">
        <v>45845</v>
      </c>
      <c r="D96" t="inlineStr">
        <is>
          <t>HALLANDS LÄN</t>
        </is>
      </c>
      <c r="E96" t="inlineStr">
        <is>
          <t>KUNGSBACKA</t>
        </is>
      </c>
      <c r="G96" t="n">
        <v>17.6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4554-2021</t>
        </is>
      </c>
      <c r="B97" s="1" t="n">
        <v>44224</v>
      </c>
      <c r="C97" s="1" t="n">
        <v>45845</v>
      </c>
      <c r="D97" t="inlineStr">
        <is>
          <t>HALLANDS LÄN</t>
        </is>
      </c>
      <c r="E97" t="inlineStr">
        <is>
          <t>KUNGSBACKA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4862-2021</t>
        </is>
      </c>
      <c r="B98" s="1" t="n">
        <v>44225</v>
      </c>
      <c r="C98" s="1" t="n">
        <v>45845</v>
      </c>
      <c r="D98" t="inlineStr">
        <is>
          <t>HALLANDS LÄN</t>
        </is>
      </c>
      <c r="E98" t="inlineStr">
        <is>
          <t>KUNGSBACKA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8410-2021</t>
        </is>
      </c>
      <c r="B99" s="1" t="n">
        <v>44245</v>
      </c>
      <c r="C99" s="1" t="n">
        <v>45845</v>
      </c>
      <c r="D99" t="inlineStr">
        <is>
          <t>HALLANDS LÄN</t>
        </is>
      </c>
      <c r="E99" t="inlineStr">
        <is>
          <t>KUNGSBACKA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9282-2021</t>
        </is>
      </c>
      <c r="B100" s="1" t="n">
        <v>44250</v>
      </c>
      <c r="C100" s="1" t="n">
        <v>45845</v>
      </c>
      <c r="D100" t="inlineStr">
        <is>
          <t>HALLANDS LÄN</t>
        </is>
      </c>
      <c r="E100" t="inlineStr">
        <is>
          <t>KUNGSBACKA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9499-2021</t>
        </is>
      </c>
      <c r="B101" s="1" t="n">
        <v>44251</v>
      </c>
      <c r="C101" s="1" t="n">
        <v>45845</v>
      </c>
      <c r="D101" t="inlineStr">
        <is>
          <t>HALLANDS LÄN</t>
        </is>
      </c>
      <c r="E101" t="inlineStr">
        <is>
          <t>KUNGSBACKA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10346-2021</t>
        </is>
      </c>
      <c r="B102" s="1" t="n">
        <v>44257</v>
      </c>
      <c r="C102" s="1" t="n">
        <v>45845</v>
      </c>
      <c r="D102" t="inlineStr">
        <is>
          <t>HALLANDS LÄN</t>
        </is>
      </c>
      <c r="E102" t="inlineStr">
        <is>
          <t>KUNGSBACKA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13775-2021</t>
        </is>
      </c>
      <c r="B103" s="1" t="n">
        <v>44274</v>
      </c>
      <c r="C103" s="1" t="n">
        <v>45845</v>
      </c>
      <c r="D103" t="inlineStr">
        <is>
          <t>HALLANDS LÄN</t>
        </is>
      </c>
      <c r="E103" t="inlineStr">
        <is>
          <t>KUNGSBACKA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14361-2021</t>
        </is>
      </c>
      <c r="B104" s="1" t="n">
        <v>44279</v>
      </c>
      <c r="C104" s="1" t="n">
        <v>45845</v>
      </c>
      <c r="D104" t="inlineStr">
        <is>
          <t>HALLANDS LÄN</t>
        </is>
      </c>
      <c r="E104" t="inlineStr">
        <is>
          <t>KUNGSBACKA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14399-2021</t>
        </is>
      </c>
      <c r="B105" s="1" t="n">
        <v>44279</v>
      </c>
      <c r="C105" s="1" t="n">
        <v>45845</v>
      </c>
      <c r="D105" t="inlineStr">
        <is>
          <t>HALLANDS LÄN</t>
        </is>
      </c>
      <c r="E105" t="inlineStr">
        <is>
          <t>KUNGSBACKA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14374-2021</t>
        </is>
      </c>
      <c r="B106" s="1" t="n">
        <v>44279</v>
      </c>
      <c r="C106" s="1" t="n">
        <v>45845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14390-2021</t>
        </is>
      </c>
      <c r="B107" s="1" t="n">
        <v>44279</v>
      </c>
      <c r="C107" s="1" t="n">
        <v>45845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15632-2021</t>
        </is>
      </c>
      <c r="B108" s="1" t="n">
        <v>44285</v>
      </c>
      <c r="C108" s="1" t="n">
        <v>45845</v>
      </c>
      <c r="D108" t="inlineStr">
        <is>
          <t>HALLANDS LÄN</t>
        </is>
      </c>
      <c r="E108" t="inlineStr">
        <is>
          <t>KUNGSBACKA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15673-2021</t>
        </is>
      </c>
      <c r="B109" s="1" t="n">
        <v>44286</v>
      </c>
      <c r="C109" s="1" t="n">
        <v>45845</v>
      </c>
      <c r="D109" t="inlineStr">
        <is>
          <t>HALLANDS LÄN</t>
        </is>
      </c>
      <c r="E109" t="inlineStr">
        <is>
          <t>KUNGSBACKA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15686-2021</t>
        </is>
      </c>
      <c r="B110" s="1" t="n">
        <v>44286</v>
      </c>
      <c r="C110" s="1" t="n">
        <v>45845</v>
      </c>
      <c r="D110" t="inlineStr">
        <is>
          <t>HALLANDS LÄN</t>
        </is>
      </c>
      <c r="E110" t="inlineStr">
        <is>
          <t>KUNGSBACKA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17242-2021</t>
        </is>
      </c>
      <c r="B111" s="1" t="n">
        <v>44298</v>
      </c>
      <c r="C111" s="1" t="n">
        <v>45845</v>
      </c>
      <c r="D111" t="inlineStr">
        <is>
          <t>HALLANDS LÄN</t>
        </is>
      </c>
      <c r="E111" t="inlineStr">
        <is>
          <t>KUNGSBACKA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17243-2021</t>
        </is>
      </c>
      <c r="B112" s="1" t="n">
        <v>44298</v>
      </c>
      <c r="C112" s="1" t="n">
        <v>45845</v>
      </c>
      <c r="D112" t="inlineStr">
        <is>
          <t>HALLANDS LÄN</t>
        </is>
      </c>
      <c r="E112" t="inlineStr">
        <is>
          <t>KUNGSBACKA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19027-2021</t>
        </is>
      </c>
      <c r="B113" s="1" t="n">
        <v>44308</v>
      </c>
      <c r="C113" s="1" t="n">
        <v>45845</v>
      </c>
      <c r="D113" t="inlineStr">
        <is>
          <t>HALLANDS LÄN</t>
        </is>
      </c>
      <c r="E113" t="inlineStr">
        <is>
          <t>KUNGSBACKA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28118-2021</t>
        </is>
      </c>
      <c r="B114" s="1" t="n">
        <v>44355</v>
      </c>
      <c r="C114" s="1" t="n">
        <v>45845</v>
      </c>
      <c r="D114" t="inlineStr">
        <is>
          <t>HALLANDS LÄN</t>
        </is>
      </c>
      <c r="E114" t="inlineStr">
        <is>
          <t>KUNGSBACKA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30473-2021</t>
        </is>
      </c>
      <c r="B115" s="1" t="n">
        <v>44364</v>
      </c>
      <c r="C115" s="1" t="n">
        <v>45845</v>
      </c>
      <c r="D115" t="inlineStr">
        <is>
          <t>HALLANDS LÄN</t>
        </is>
      </c>
      <c r="E115" t="inlineStr">
        <is>
          <t>KUNGSBACKA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31246-2021</t>
        </is>
      </c>
      <c r="B116" s="1" t="n">
        <v>44368</v>
      </c>
      <c r="C116" s="1" t="n">
        <v>45845</v>
      </c>
      <c r="D116" t="inlineStr">
        <is>
          <t>HALLANDS LÄN</t>
        </is>
      </c>
      <c r="E116" t="inlineStr">
        <is>
          <t>KUNGSBACKA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33535-2021</t>
        </is>
      </c>
      <c r="B117" s="1" t="n">
        <v>44377</v>
      </c>
      <c r="C117" s="1" t="n">
        <v>45845</v>
      </c>
      <c r="D117" t="inlineStr">
        <is>
          <t>HALLANDS LÄN</t>
        </is>
      </c>
      <c r="E117" t="inlineStr">
        <is>
          <t>KUNGSBACKA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33715-2021</t>
        </is>
      </c>
      <c r="B118" s="1" t="n">
        <v>44378</v>
      </c>
      <c r="C118" s="1" t="n">
        <v>45845</v>
      </c>
      <c r="D118" t="inlineStr">
        <is>
          <t>HALLANDS LÄN</t>
        </is>
      </c>
      <c r="E118" t="inlineStr">
        <is>
          <t>KUNGSBACKA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34939-2021</t>
        </is>
      </c>
      <c r="B119" s="1" t="n">
        <v>44383</v>
      </c>
      <c r="C119" s="1" t="n">
        <v>45845</v>
      </c>
      <c r="D119" t="inlineStr">
        <is>
          <t>HALLANDS LÄN</t>
        </is>
      </c>
      <c r="E119" t="inlineStr">
        <is>
          <t>KUNGSBACKA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36358-2021</t>
        </is>
      </c>
      <c r="B120" s="1" t="n">
        <v>44390</v>
      </c>
      <c r="C120" s="1" t="n">
        <v>45845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36361-2021</t>
        </is>
      </c>
      <c r="B121" s="1" t="n">
        <v>44390</v>
      </c>
      <c r="C121" s="1" t="n">
        <v>45845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36364-2021</t>
        </is>
      </c>
      <c r="B122" s="1" t="n">
        <v>44390</v>
      </c>
      <c r="C122" s="1" t="n">
        <v>45845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13.3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36368-2021</t>
        </is>
      </c>
      <c r="B123" s="1" t="n">
        <v>44390</v>
      </c>
      <c r="C123" s="1" t="n">
        <v>45845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36366-2021</t>
        </is>
      </c>
      <c r="B124" s="1" t="n">
        <v>44390</v>
      </c>
      <c r="C124" s="1" t="n">
        <v>45845</v>
      </c>
      <c r="D124" t="inlineStr">
        <is>
          <t>HALLANDS LÄN</t>
        </is>
      </c>
      <c r="E124" t="inlineStr">
        <is>
          <t>KUNGSBACKA</t>
        </is>
      </c>
      <c r="F124" t="inlineStr">
        <is>
          <t>Kyrkan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36650-2021</t>
        </is>
      </c>
      <c r="B125" s="1" t="n">
        <v>44392</v>
      </c>
      <c r="C125" s="1" t="n">
        <v>45845</v>
      </c>
      <c r="D125" t="inlineStr">
        <is>
          <t>HALLANDS LÄN</t>
        </is>
      </c>
      <c r="E125" t="inlineStr">
        <is>
          <t>KUNGSBACKA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36984-2021</t>
        </is>
      </c>
      <c r="B126" s="1" t="n">
        <v>44393</v>
      </c>
      <c r="C126" s="1" t="n">
        <v>45845</v>
      </c>
      <c r="D126" t="inlineStr">
        <is>
          <t>HALLANDS LÄN</t>
        </is>
      </c>
      <c r="E126" t="inlineStr">
        <is>
          <t>KUNGSBACKA</t>
        </is>
      </c>
      <c r="F126" t="inlineStr">
        <is>
          <t>Kyrkan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39418-2021</t>
        </is>
      </c>
      <c r="B127" s="1" t="n">
        <v>44414</v>
      </c>
      <c r="C127" s="1" t="n">
        <v>45845</v>
      </c>
      <c r="D127" t="inlineStr">
        <is>
          <t>HALLANDS LÄN</t>
        </is>
      </c>
      <c r="E127" t="inlineStr">
        <is>
          <t>KUNGSBACKA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40024-2021</t>
        </is>
      </c>
      <c r="B128" s="1" t="n">
        <v>44418</v>
      </c>
      <c r="C128" s="1" t="n">
        <v>45845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41766-2021</t>
        </is>
      </c>
      <c r="B129" s="1" t="n">
        <v>44425</v>
      </c>
      <c r="C129" s="1" t="n">
        <v>45845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41769-2021</t>
        </is>
      </c>
      <c r="B130" s="1" t="n">
        <v>44425</v>
      </c>
      <c r="C130" s="1" t="n">
        <v>45845</v>
      </c>
      <c r="D130" t="inlineStr">
        <is>
          <t>HALLANDS LÄN</t>
        </is>
      </c>
      <c r="E130" t="inlineStr">
        <is>
          <t>KUNGSBACKA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42377-2021</t>
        </is>
      </c>
      <c r="B131" s="1" t="n">
        <v>44427</v>
      </c>
      <c r="C131" s="1" t="n">
        <v>45845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49906-2021</t>
        </is>
      </c>
      <c r="B132" s="1" t="n">
        <v>44455</v>
      </c>
      <c r="C132" s="1" t="n">
        <v>45845</v>
      </c>
      <c r="D132" t="inlineStr">
        <is>
          <t>HALLANDS LÄN</t>
        </is>
      </c>
      <c r="E132" t="inlineStr">
        <is>
          <t>KUNGSBACKA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51059-2021</t>
        </is>
      </c>
      <c r="B133" s="1" t="n">
        <v>44461</v>
      </c>
      <c r="C133" s="1" t="n">
        <v>45845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51535-2021</t>
        </is>
      </c>
      <c r="B134" s="1" t="n">
        <v>44462</v>
      </c>
      <c r="C134" s="1" t="n">
        <v>45845</v>
      </c>
      <c r="D134" t="inlineStr">
        <is>
          <t>HALLANDS LÄN</t>
        </is>
      </c>
      <c r="E134" t="inlineStr">
        <is>
          <t>KUNGSBACKA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53051-2021</t>
        </is>
      </c>
      <c r="B135" s="1" t="n">
        <v>44467</v>
      </c>
      <c r="C135" s="1" t="n">
        <v>45845</v>
      </c>
      <c r="D135" t="inlineStr">
        <is>
          <t>HALLANDS LÄN</t>
        </is>
      </c>
      <c r="E135" t="inlineStr">
        <is>
          <t>KUNGSBACKA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52909-2021</t>
        </is>
      </c>
      <c r="B136" s="1" t="n">
        <v>44467</v>
      </c>
      <c r="C136" s="1" t="n">
        <v>45845</v>
      </c>
      <c r="D136" t="inlineStr">
        <is>
          <t>HALLANDS LÄN</t>
        </is>
      </c>
      <c r="E136" t="inlineStr">
        <is>
          <t>KUNGSBACKA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53378-2021</t>
        </is>
      </c>
      <c r="B137" s="1" t="n">
        <v>44468</v>
      </c>
      <c r="C137" s="1" t="n">
        <v>45845</v>
      </c>
      <c r="D137" t="inlineStr">
        <is>
          <t>HALLANDS LÄN</t>
        </is>
      </c>
      <c r="E137" t="inlineStr">
        <is>
          <t>KUNGSBACKA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53380-2021</t>
        </is>
      </c>
      <c r="B138" s="1" t="n">
        <v>44468</v>
      </c>
      <c r="C138" s="1" t="n">
        <v>45845</v>
      </c>
      <c r="D138" t="inlineStr">
        <is>
          <t>HALLANDS LÄN</t>
        </is>
      </c>
      <c r="E138" t="inlineStr">
        <is>
          <t>KUNGSBACKA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55477-2021</t>
        </is>
      </c>
      <c r="B139" s="1" t="n">
        <v>44475</v>
      </c>
      <c r="C139" s="1" t="n">
        <v>45845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57034-2021</t>
        </is>
      </c>
      <c r="B140" s="1" t="n">
        <v>44482</v>
      </c>
      <c r="C140" s="1" t="n">
        <v>45845</v>
      </c>
      <c r="D140" t="inlineStr">
        <is>
          <t>HALLANDS LÄN</t>
        </is>
      </c>
      <c r="E140" t="inlineStr">
        <is>
          <t>KUNGSBACKA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58118-2021</t>
        </is>
      </c>
      <c r="B141" s="1" t="n">
        <v>44487</v>
      </c>
      <c r="C141" s="1" t="n">
        <v>45845</v>
      </c>
      <c r="D141" t="inlineStr">
        <is>
          <t>HALLANDS LÄN</t>
        </is>
      </c>
      <c r="E141" t="inlineStr">
        <is>
          <t>KUNGSBACKA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58678-2021</t>
        </is>
      </c>
      <c r="B142" s="1" t="n">
        <v>44489</v>
      </c>
      <c r="C142" s="1" t="n">
        <v>45845</v>
      </c>
      <c r="D142" t="inlineStr">
        <is>
          <t>HALLANDS LÄN</t>
        </is>
      </c>
      <c r="E142" t="inlineStr">
        <is>
          <t>KUNGSBACKA</t>
        </is>
      </c>
      <c r="F142" t="inlineStr">
        <is>
          <t>Sveaskog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62158-2021</t>
        </is>
      </c>
      <c r="B143" s="1" t="n">
        <v>44502</v>
      </c>
      <c r="C143" s="1" t="n">
        <v>45845</v>
      </c>
      <c r="D143" t="inlineStr">
        <is>
          <t>HALLANDS LÄN</t>
        </is>
      </c>
      <c r="E143" t="inlineStr">
        <is>
          <t>KUNGSBACKA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62156-2021</t>
        </is>
      </c>
      <c r="B144" s="1" t="n">
        <v>44502</v>
      </c>
      <c r="C144" s="1" t="n">
        <v>45845</v>
      </c>
      <c r="D144" t="inlineStr">
        <is>
          <t>HALLANDS LÄN</t>
        </is>
      </c>
      <c r="E144" t="inlineStr">
        <is>
          <t>KUNGSBACKA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63966-2021</t>
        </is>
      </c>
      <c r="B145" s="1" t="n">
        <v>44509</v>
      </c>
      <c r="C145" s="1" t="n">
        <v>45845</v>
      </c>
      <c r="D145" t="inlineStr">
        <is>
          <t>HALLANDS LÄN</t>
        </is>
      </c>
      <c r="E145" t="inlineStr">
        <is>
          <t>KUNGSBACKA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64129-2021</t>
        </is>
      </c>
      <c r="B146" s="1" t="n">
        <v>44510</v>
      </c>
      <c r="C146" s="1" t="n">
        <v>45845</v>
      </c>
      <c r="D146" t="inlineStr">
        <is>
          <t>HALLANDS LÄN</t>
        </is>
      </c>
      <c r="E146" t="inlineStr">
        <is>
          <t>KUNGSBACKA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70634-2021</t>
        </is>
      </c>
      <c r="B147" s="1" t="n">
        <v>44537</v>
      </c>
      <c r="C147" s="1" t="n">
        <v>45845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70904-2021</t>
        </is>
      </c>
      <c r="B148" s="1" t="n">
        <v>44538</v>
      </c>
      <c r="C148" s="1" t="n">
        <v>45845</v>
      </c>
      <c r="D148" t="inlineStr">
        <is>
          <t>HALLANDS LÄN</t>
        </is>
      </c>
      <c r="E148" t="inlineStr">
        <is>
          <t>KUNGSBACKA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71676-2021</t>
        </is>
      </c>
      <c r="B149" s="1" t="n">
        <v>44539</v>
      </c>
      <c r="C149" s="1" t="n">
        <v>45845</v>
      </c>
      <c r="D149" t="inlineStr">
        <is>
          <t>HALLANDS LÄN</t>
        </is>
      </c>
      <c r="E149" t="inlineStr">
        <is>
          <t>KUNGSBACKA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71687-2021</t>
        </is>
      </c>
      <c r="B150" s="1" t="n">
        <v>44539</v>
      </c>
      <c r="C150" s="1" t="n">
        <v>45845</v>
      </c>
      <c r="D150" t="inlineStr">
        <is>
          <t>HALLANDS LÄN</t>
        </is>
      </c>
      <c r="E150" t="inlineStr">
        <is>
          <t>KUNGSBACKA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71891-2021</t>
        </is>
      </c>
      <c r="B151" s="1" t="n">
        <v>44543</v>
      </c>
      <c r="C151" s="1" t="n">
        <v>45845</v>
      </c>
      <c r="D151" t="inlineStr">
        <is>
          <t>HALLANDS LÄN</t>
        </is>
      </c>
      <c r="E151" t="inlineStr">
        <is>
          <t>KUNGSBACKA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2281-2022</t>
        </is>
      </c>
      <c r="B152" s="1" t="n">
        <v>44578</v>
      </c>
      <c r="C152" s="1" t="n">
        <v>45845</v>
      </c>
      <c r="D152" t="inlineStr">
        <is>
          <t>HALLANDS LÄN</t>
        </is>
      </c>
      <c r="E152" t="inlineStr">
        <is>
          <t>KUNGSBACKA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4979-2022</t>
        </is>
      </c>
      <c r="B153" s="1" t="n">
        <v>44593</v>
      </c>
      <c r="C153" s="1" t="n">
        <v>45845</v>
      </c>
      <c r="D153" t="inlineStr">
        <is>
          <t>HALLANDS LÄN</t>
        </is>
      </c>
      <c r="E153" t="inlineStr">
        <is>
          <t>KUNGSBACKA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6260-2022</t>
        </is>
      </c>
      <c r="B154" s="1" t="n">
        <v>44600</v>
      </c>
      <c r="C154" s="1" t="n">
        <v>45845</v>
      </c>
      <c r="D154" t="inlineStr">
        <is>
          <t>HALLANDS LÄN</t>
        </is>
      </c>
      <c r="E154" t="inlineStr">
        <is>
          <t>KUNGSBACKA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6504-2022</t>
        </is>
      </c>
      <c r="B155" s="1" t="n">
        <v>44601</v>
      </c>
      <c r="C155" s="1" t="n">
        <v>45845</v>
      </c>
      <c r="D155" t="inlineStr">
        <is>
          <t>HALLANDS LÄN</t>
        </is>
      </c>
      <c r="E155" t="inlineStr">
        <is>
          <t>KUNGSBACKA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8640-2022</t>
        </is>
      </c>
      <c r="B156" s="1" t="n">
        <v>44613</v>
      </c>
      <c r="C156" s="1" t="n">
        <v>45845</v>
      </c>
      <c r="D156" t="inlineStr">
        <is>
          <t>HALLANDS LÄN</t>
        </is>
      </c>
      <c r="E156" t="inlineStr">
        <is>
          <t>KUNGSBACKA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8677-2022</t>
        </is>
      </c>
      <c r="B157" s="1" t="n">
        <v>44613</v>
      </c>
      <c r="C157" s="1" t="n">
        <v>45845</v>
      </c>
      <c r="D157" t="inlineStr">
        <is>
          <t>HALLANDS LÄN</t>
        </is>
      </c>
      <c r="E157" t="inlineStr">
        <is>
          <t>KUNGSBACKA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9507-2022</t>
        </is>
      </c>
      <c r="B158" s="1" t="n">
        <v>44617</v>
      </c>
      <c r="C158" s="1" t="n">
        <v>45845</v>
      </c>
      <c r="D158" t="inlineStr">
        <is>
          <t>HALLANDS LÄN</t>
        </is>
      </c>
      <c r="E158" t="inlineStr">
        <is>
          <t>KUNGSBACKA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11154-2022</t>
        </is>
      </c>
      <c r="B159" s="1" t="n">
        <v>44629</v>
      </c>
      <c r="C159" s="1" t="n">
        <v>45845</v>
      </c>
      <c r="D159" t="inlineStr">
        <is>
          <t>HALLANDS LÄN</t>
        </is>
      </c>
      <c r="E159" t="inlineStr">
        <is>
          <t>KUNGSBACKA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13373-2022</t>
        </is>
      </c>
      <c r="B160" s="1" t="n">
        <v>44645</v>
      </c>
      <c r="C160" s="1" t="n">
        <v>45845</v>
      </c>
      <c r="D160" t="inlineStr">
        <is>
          <t>HALLANDS LÄN</t>
        </is>
      </c>
      <c r="E160" t="inlineStr">
        <is>
          <t>KUNGSBACKA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13739-2022</t>
        </is>
      </c>
      <c r="B161" s="1" t="n">
        <v>44649</v>
      </c>
      <c r="C161" s="1" t="n">
        <v>45845</v>
      </c>
      <c r="D161" t="inlineStr">
        <is>
          <t>HALLANDS LÄN</t>
        </is>
      </c>
      <c r="E161" t="inlineStr">
        <is>
          <t>KUNGSBACKA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17769-2022</t>
        </is>
      </c>
      <c r="B162" s="1" t="n">
        <v>44681</v>
      </c>
      <c r="C162" s="1" t="n">
        <v>45845</v>
      </c>
      <c r="D162" t="inlineStr">
        <is>
          <t>HALLANDS LÄN</t>
        </is>
      </c>
      <c r="E162" t="inlineStr">
        <is>
          <t>KUNGSBACKA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18057-2022</t>
        </is>
      </c>
      <c r="B163" s="1" t="n">
        <v>44684</v>
      </c>
      <c r="C163" s="1" t="n">
        <v>45845</v>
      </c>
      <c r="D163" t="inlineStr">
        <is>
          <t>HALLANDS LÄN</t>
        </is>
      </c>
      <c r="E163" t="inlineStr">
        <is>
          <t>KUNGSBACKA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19502-2022</t>
        </is>
      </c>
      <c r="B164" s="1" t="n">
        <v>44693</v>
      </c>
      <c r="C164" s="1" t="n">
        <v>45845</v>
      </c>
      <c r="D164" t="inlineStr">
        <is>
          <t>HALLANDS LÄN</t>
        </is>
      </c>
      <c r="E164" t="inlineStr">
        <is>
          <t>KUNGSBACKA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24459-2022</t>
        </is>
      </c>
      <c r="B165" s="1" t="n">
        <v>44726</v>
      </c>
      <c r="C165" s="1" t="n">
        <v>45845</v>
      </c>
      <c r="D165" t="inlineStr">
        <is>
          <t>HALLANDS LÄN</t>
        </is>
      </c>
      <c r="E165" t="inlineStr">
        <is>
          <t>KUNGSBACKA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26979-2022</t>
        </is>
      </c>
      <c r="B166" s="1" t="n">
        <v>44740</v>
      </c>
      <c r="C166" s="1" t="n">
        <v>45845</v>
      </c>
      <c r="D166" t="inlineStr">
        <is>
          <t>HALLANDS LÄN</t>
        </is>
      </c>
      <c r="E166" t="inlineStr">
        <is>
          <t>KUNGSBACKA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28260-2022</t>
        </is>
      </c>
      <c r="B167" s="1" t="n">
        <v>44746</v>
      </c>
      <c r="C167" s="1" t="n">
        <v>45845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28529-2022</t>
        </is>
      </c>
      <c r="B168" s="1" t="n">
        <v>44748</v>
      </c>
      <c r="C168" s="1" t="n">
        <v>45845</v>
      </c>
      <c r="D168" t="inlineStr">
        <is>
          <t>HALLANDS LÄN</t>
        </is>
      </c>
      <c r="E168" t="inlineStr">
        <is>
          <t>KUNGSBACKA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28625-2022</t>
        </is>
      </c>
      <c r="B169" s="1" t="n">
        <v>44748</v>
      </c>
      <c r="C169" s="1" t="n">
        <v>45845</v>
      </c>
      <c r="D169" t="inlineStr">
        <is>
          <t>HALLANDS LÄN</t>
        </is>
      </c>
      <c r="E169" t="inlineStr">
        <is>
          <t>KUNGSBACKA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30885-2022</t>
        </is>
      </c>
      <c r="B170" s="1" t="n">
        <v>44767</v>
      </c>
      <c r="C170" s="1" t="n">
        <v>45845</v>
      </c>
      <c r="D170" t="inlineStr">
        <is>
          <t>HALLANDS LÄN</t>
        </is>
      </c>
      <c r="E170" t="inlineStr">
        <is>
          <t>KUNGSBACKA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30901-2022</t>
        </is>
      </c>
      <c r="B171" s="1" t="n">
        <v>44767</v>
      </c>
      <c r="C171" s="1" t="n">
        <v>45845</v>
      </c>
      <c r="D171" t="inlineStr">
        <is>
          <t>HALLANDS LÄN</t>
        </is>
      </c>
      <c r="E171" t="inlineStr">
        <is>
          <t>KUNGSBACKA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30952-2022</t>
        </is>
      </c>
      <c r="B172" s="1" t="n">
        <v>44768</v>
      </c>
      <c r="C172" s="1" t="n">
        <v>45845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31302-2022</t>
        </is>
      </c>
      <c r="B173" s="1" t="n">
        <v>44773</v>
      </c>
      <c r="C173" s="1" t="n">
        <v>45845</v>
      </c>
      <c r="D173" t="inlineStr">
        <is>
          <t>HALLANDS LÄN</t>
        </is>
      </c>
      <c r="E173" t="inlineStr">
        <is>
          <t>KUNGSBACKA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31617-2022</t>
        </is>
      </c>
      <c r="B174" s="1" t="n">
        <v>44775</v>
      </c>
      <c r="C174" s="1" t="n">
        <v>45845</v>
      </c>
      <c r="D174" t="inlineStr">
        <is>
          <t>HALLANDS LÄN</t>
        </is>
      </c>
      <c r="E174" t="inlineStr">
        <is>
          <t>KUNGSBACKA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31887-2022</t>
        </is>
      </c>
      <c r="B175" s="1" t="n">
        <v>44777</v>
      </c>
      <c r="C175" s="1" t="n">
        <v>45845</v>
      </c>
      <c r="D175" t="inlineStr">
        <is>
          <t>HALLANDS LÄN</t>
        </is>
      </c>
      <c r="E175" t="inlineStr">
        <is>
          <t>KUNGSBACKA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31884-2022</t>
        </is>
      </c>
      <c r="B176" s="1" t="n">
        <v>44777</v>
      </c>
      <c r="C176" s="1" t="n">
        <v>45845</v>
      </c>
      <c r="D176" t="inlineStr">
        <is>
          <t>HALLANDS LÄN</t>
        </is>
      </c>
      <c r="E176" t="inlineStr">
        <is>
          <t>KUNGSBACKA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32699-2022</t>
        </is>
      </c>
      <c r="B177" s="1" t="n">
        <v>44783</v>
      </c>
      <c r="C177" s="1" t="n">
        <v>45845</v>
      </c>
      <c r="D177" t="inlineStr">
        <is>
          <t>HALLANDS LÄN</t>
        </is>
      </c>
      <c r="E177" t="inlineStr">
        <is>
          <t>KUNGSBACKA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32698-2022</t>
        </is>
      </c>
      <c r="B178" s="1" t="n">
        <v>44783</v>
      </c>
      <c r="C178" s="1" t="n">
        <v>45845</v>
      </c>
      <c r="D178" t="inlineStr">
        <is>
          <t>HALLANDS LÄN</t>
        </is>
      </c>
      <c r="E178" t="inlineStr">
        <is>
          <t>KUNGSBACKA</t>
        </is>
      </c>
      <c r="G178" t="n">
        <v>18.8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33646-2022</t>
        </is>
      </c>
      <c r="B179" s="1" t="n">
        <v>44789</v>
      </c>
      <c r="C179" s="1" t="n">
        <v>45845</v>
      </c>
      <c r="D179" t="inlineStr">
        <is>
          <t>HALLANDS LÄN</t>
        </is>
      </c>
      <c r="E179" t="inlineStr">
        <is>
          <t>KUNGSBACKA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34211-2022</t>
        </is>
      </c>
      <c r="B180" s="1" t="n">
        <v>44791</v>
      </c>
      <c r="C180" s="1" t="n">
        <v>45845</v>
      </c>
      <c r="D180" t="inlineStr">
        <is>
          <t>HALLANDS LÄN</t>
        </is>
      </c>
      <c r="E180" t="inlineStr">
        <is>
          <t>KUNGSBACKA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36670-2022</t>
        </is>
      </c>
      <c r="B181" s="1" t="n">
        <v>44804</v>
      </c>
      <c r="C181" s="1" t="n">
        <v>45845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40582-2022</t>
        </is>
      </c>
      <c r="B182" s="1" t="n">
        <v>44819</v>
      </c>
      <c r="C182" s="1" t="n">
        <v>45845</v>
      </c>
      <c r="D182" t="inlineStr">
        <is>
          <t>HALLANDS LÄN</t>
        </is>
      </c>
      <c r="E182" t="inlineStr">
        <is>
          <t>KUNGSBACKA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40760-2022</t>
        </is>
      </c>
      <c r="B183" s="1" t="n">
        <v>44824</v>
      </c>
      <c r="C183" s="1" t="n">
        <v>45845</v>
      </c>
      <c r="D183" t="inlineStr">
        <is>
          <t>HALLANDS LÄN</t>
        </is>
      </c>
      <c r="E183" t="inlineStr">
        <is>
          <t>KUNGSBACKA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42412-2022</t>
        </is>
      </c>
      <c r="B184" s="1" t="n">
        <v>44831</v>
      </c>
      <c r="C184" s="1" t="n">
        <v>45845</v>
      </c>
      <c r="D184" t="inlineStr">
        <is>
          <t>HALLANDS LÄN</t>
        </is>
      </c>
      <c r="E184" t="inlineStr">
        <is>
          <t>KUNGSBACKA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45845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45845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45845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45845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45845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45845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45845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45845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45845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45845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45845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45845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45845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45845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45845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45845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45845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45845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45845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45845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45845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45845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45845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45845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45845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45845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45845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45845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45845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45845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45845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45845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45845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45845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45845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45845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45845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45845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45845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45845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45845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45845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45845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45845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45845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45845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45845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45845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45845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45845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45845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45845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45845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45845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45845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45845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45845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45845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45845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45845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45845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45845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45845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45845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45845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45845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45845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45845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45845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45845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45845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45845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45845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45845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45845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45845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45845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45845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45845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45845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45845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45845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45845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45845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45845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45845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45845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45845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45845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45845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45845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45845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45845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45845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45845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45845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45845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45845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45845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45845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45845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45845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45845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45845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45845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45845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45845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45845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45845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45845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45845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45845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45845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45845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45845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45845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45845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45845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45845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45845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45845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45845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45845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45845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45845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45845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45845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45845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45845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45845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45845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45845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45845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45845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45845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45845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45845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45845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45845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45845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45845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45845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45845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45845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45845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45845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45845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45845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45845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45845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45845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45845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45845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45845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45845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45845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45845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45845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45845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45845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45845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45845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45845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45845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45845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45845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45845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45845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45845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45845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45845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45845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45845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45845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45845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45845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45845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45845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45845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45845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45845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45845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45845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45845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45845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45845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45845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45845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45845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45845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45845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45845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45845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45845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45845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45845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45845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45845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45845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45845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45845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45845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45845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45845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45845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45845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45845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45845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45845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45845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45845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45845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45845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45845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45845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45845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45845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45845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45845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45845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45845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45845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45845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45845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45845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45845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45845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45845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45845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45845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45845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45845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45845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45845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45845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45845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45845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45845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45845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45845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45845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45845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45845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45845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45845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45845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45845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45845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45845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45845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45845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45845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45845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45845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45845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45845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45845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45845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45845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45845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45845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45845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45845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45845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45845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45845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45845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45845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45845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45845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45845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45845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45845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45845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45845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45845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45845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45845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45845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45845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45845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45845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45845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45845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45845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45845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45845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45845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45845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45845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45845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45845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45845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45845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45845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45845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45845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45845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45845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45845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45845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45845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45845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45845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45845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45845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45845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45845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45845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45845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45845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45845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45845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45845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45845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45845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45845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45845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45845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45845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45845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45845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45845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45845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45845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45845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45845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45845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45845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45845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45845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45845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45845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45845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45845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45845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45845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45845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45845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45845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45845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45845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45845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45845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45845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45845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45845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45845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45845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45845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45845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45845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45845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45845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45845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45845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45845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45845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45845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45845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45845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45845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28332-2025</t>
        </is>
      </c>
      <c r="B547" s="1" t="n">
        <v>45818</v>
      </c>
      <c r="C547" s="1" t="n">
        <v>45845</v>
      </c>
      <c r="D547" t="inlineStr">
        <is>
          <t>HALLANDS LÄN</t>
        </is>
      </c>
      <c r="E547" t="inlineStr">
        <is>
          <t>KUNGSBACKA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28331-2025</t>
        </is>
      </c>
      <c r="B548" s="1" t="n">
        <v>45818</v>
      </c>
      <c r="C548" s="1" t="n">
        <v>45845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45845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45845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28900-2025</t>
        </is>
      </c>
      <c r="B551" s="1" t="n">
        <v>45820</v>
      </c>
      <c r="C551" s="1" t="n">
        <v>45845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30597-2025</t>
        </is>
      </c>
      <c r="B552" s="1" t="n">
        <v>45831</v>
      </c>
      <c r="C552" s="1" t="n">
        <v>45845</v>
      </c>
      <c r="D552" t="inlineStr">
        <is>
          <t>HALLANDS LÄN</t>
        </is>
      </c>
      <c r="E552" t="inlineStr">
        <is>
          <t>KUNGSBACKA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31873-2025</t>
        </is>
      </c>
      <c r="B553" s="1" t="n">
        <v>45834</v>
      </c>
      <c r="C553" s="1" t="n">
        <v>45845</v>
      </c>
      <c r="D553" t="inlineStr">
        <is>
          <t>HALLANDS LÄN</t>
        </is>
      </c>
      <c r="E553" t="inlineStr">
        <is>
          <t>KUNGSBACKA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31888-2025</t>
        </is>
      </c>
      <c r="B554" s="1" t="n">
        <v>45834</v>
      </c>
      <c r="C554" s="1" t="n">
        <v>45845</v>
      </c>
      <c r="D554" t="inlineStr">
        <is>
          <t>HALLANDS LÄN</t>
        </is>
      </c>
      <c r="E554" t="inlineStr">
        <is>
          <t>KUNGSBACKA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31950-2025</t>
        </is>
      </c>
      <c r="B555" s="1" t="n">
        <v>45835</v>
      </c>
      <c r="C555" s="1" t="n">
        <v>45845</v>
      </c>
      <c r="D555" t="inlineStr">
        <is>
          <t>HALLANDS LÄN</t>
        </is>
      </c>
      <c r="E555" t="inlineStr">
        <is>
          <t>KUNGSBACKA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32620-2025</t>
        </is>
      </c>
      <c r="B556" s="1" t="n">
        <v>45838</v>
      </c>
      <c r="C556" s="1" t="n">
        <v>45845</v>
      </c>
      <c r="D556" t="inlineStr">
        <is>
          <t>HALLANDS LÄN</t>
        </is>
      </c>
      <c r="E556" t="inlineStr">
        <is>
          <t>KUNGSBACKA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32894-2025</t>
        </is>
      </c>
      <c r="B557" s="1" t="n">
        <v>45839</v>
      </c>
      <c r="C557" s="1" t="n">
        <v>45845</v>
      </c>
      <c r="D557" t="inlineStr">
        <is>
          <t>HALLANDS LÄN</t>
        </is>
      </c>
      <c r="E557" t="inlineStr">
        <is>
          <t>KUNGSBACKA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2025-07-07T19:33:39Z</dcterms:created>
  <dcterms:modified xmlns:dcterms="http://purl.org/dc/terms/" xmlns:xsi="http://www.w3.org/2001/XMLSchema-instance" xsi:type="dcterms:W3CDTF">2025-07-07T19:33:40Z</dcterms:modified>
</cp:coreProperties>
</file>