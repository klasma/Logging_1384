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46291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46291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46291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46291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46291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46291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18160-2026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46125</v>
      </c>
      <c r="E10" s="1" t="n">
        <v>46291</v>
      </c>
      <c r="F10" t="inlineStr">
        <is>
          <t>HALLANDS LÄN</t>
        </is>
      </c>
      <c r="G10" t="inlineStr">
        <is>
          <t>KUNGSBACKA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0</v>
      </c>
      <c r="V10" s="2" t="inlineStr">
        <is>
          <t>Järnek
Igelkott</t>
        </is>
      </c>
      <c r="W10">
        <f>HYPERLINK("https://klasma.github.io/Logging_1384/artfynd/A 18160-2026 artfynd.xlsx", "A 18160-2026")</f>
        <v/>
      </c>
      <c r="X10">
        <f>HYPERLINK("https://klasma.github.io/Logging_1384/kartor/A 18160-2026 karta.png", "A 18160-2026")</f>
        <v/>
      </c>
      <c r="Y10">
        <f>HYPERLINK("https://klasma.github.io/Logging_1384/kartor_geotiff/A 18160-2026 georefererad karta.tif", "A 18160-2026")</f>
        <v/>
      </c>
      <c r="AA10">
        <f>HYPERLINK("https://klasma.github.io/Logging_1384/klagomål/A 18160-2026 FSC-klagomål.docx", "A 18160-2026")</f>
        <v/>
      </c>
      <c r="AB10">
        <f>HYPERLINK("https://klasma.github.io/Logging_1384/klagomålsmail/A 18160-2026 FSC-klagomål mail.docx", "A 18160-2026")</f>
        <v/>
      </c>
      <c r="AC10">
        <f>HYPERLINK("https://klasma.github.io/Logging_1384/tillsyn/A 18160-2026 tillsynsbegäran.docx", "A 18160-2026")</f>
        <v/>
      </c>
      <c r="AD10">
        <f>HYPERLINK("https://klasma.github.io/Logging_1384/tillsynsmail/A 18160-2026 tillsynsbegäran mail.docx", "A 18160-2026")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46291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46291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46291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46291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46291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18150-2026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46291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Järnek</t>
        </is>
      </c>
      <c r="W19">
        <f>HYPERLINK("https://klasma.github.io/Logging_1384/artfynd/A 18150-2026 artfynd.xlsx", "A 18150-2026")</f>
        <v/>
      </c>
      <c r="X19">
        <f>HYPERLINK("https://klasma.github.io/Logging_1384/kartor/A 18150-2026 karta.png", "A 18150-2026")</f>
        <v/>
      </c>
      <c r="Y19">
        <f>HYPERLINK("https://klasma.github.io/Logging_1384/kartor_geotiff/A 18150-2026 georefererad karta.tif", "A 18150-2026")</f>
        <v/>
      </c>
      <c r="AA19">
        <f>HYPERLINK("https://klasma.github.io/Logging_1384/klagomål/A 18150-2026 FSC-klagomål.docx", "A 18150-2026")</f>
        <v/>
      </c>
      <c r="AB19">
        <f>HYPERLINK("https://klasma.github.io/Logging_1384/klagomålsmail/A 18150-2026 FSC-klagomål mail.docx", "A 18150-2026")</f>
        <v/>
      </c>
      <c r="AC19">
        <f>HYPERLINK("https://klasma.github.io/Logging_1384/tillsyn/A 18150-2026 tillsynsbegäran.docx", "A 18150-2026")</f>
        <v/>
      </c>
      <c r="AD19">
        <f>HYPERLINK("https://klasma.github.io/Logging_1384/tillsynsmail/A 18150-2026 tillsynsbegäran mail.docx", "A 18150-2026")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46291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46291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7718-2025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46291</v>
      </c>
      <c r="F22" t="inlineStr">
        <is>
          <t>HALLANDS LÄN</t>
        </is>
      </c>
      <c r="G22" t="inlineStr">
        <is>
          <t>KUNGSBACKA</t>
        </is>
      </c>
      <c r="I22" t="n">
        <v>0.7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Gulsparv</t>
        </is>
      </c>
      <c r="W22">
        <f>HYPERLINK("https://klasma.github.io/Logging_1384/artfynd/A 7718-2025 artfynd.xlsx", "A 7718-2025")</f>
        <v/>
      </c>
      <c r="X22">
        <f>HYPERLINK("https://klasma.github.io/Logging_1384/kartor/A 7718-2025 karta.png", "A 7718-2025")</f>
        <v/>
      </c>
      <c r="Y22">
        <f>HYPERLINK("https://klasma.github.io/Logging_1384/kartor_geotiff/A 7718-2025 georefererad karta.tif", "A 7718-2025")</f>
        <v/>
      </c>
      <c r="AA22">
        <f>HYPERLINK("https://klasma.github.io/Logging_1384/klagomål/A 7718-2025 FSC-klagomål.docx", "A 7718-2025")</f>
        <v/>
      </c>
      <c r="AB22">
        <f>HYPERLINK("https://klasma.github.io/Logging_1384/klagomålsmail/A 7718-2025 FSC-klagomål mail.docx", "A 7718-2025")</f>
        <v/>
      </c>
      <c r="AC22">
        <f>HYPERLINK("https://klasma.github.io/Logging_1384/tillsyn/A 7718-2025 tillsynsbegäran.docx", "A 7718-2025")</f>
        <v/>
      </c>
      <c r="AD22">
        <f>HYPERLINK("https://klasma.github.io/Logging_1384/tillsynsmail/A 7718-2025 tillsynsbegäran mail.docx", "A 7718-2025")</f>
        <v/>
      </c>
      <c r="AE22">
        <f>HYPERLINK("https://klasma.github.io/Logging_1384/fåglar/A 7718-2025 prioriterade fågelarter.docx", "A 7718-2025")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46291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35165-2026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46260</v>
      </c>
      <c r="E24" s="1" t="n">
        <v>46291</v>
      </c>
      <c r="F24" t="inlineStr">
        <is>
          <t>HALLANDS LÄN</t>
        </is>
      </c>
      <c r="G24" t="inlineStr">
        <is>
          <t>KUNGSBACKA</t>
        </is>
      </c>
      <c r="I24" t="n">
        <v>6.3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HYPERLINK("https://klasma.github.io/Logging_1384/artfynd/A 35165-2026 artfynd.xlsx", "A 35165-2026")</f>
        <v/>
      </c>
      <c r="X24">
        <f>HYPERLINK("https://klasma.github.io/Logging_1384/kartor/A 35165-2026 karta.png", "A 35165-2026")</f>
        <v/>
      </c>
      <c r="Y24">
        <f>HYPERLINK("https://klasma.github.io/Logging_1384/kartor_geotiff/A 35165-2026 georefererad karta.tif", "A 35165-2026")</f>
        <v/>
      </c>
      <c r="AA24">
        <f>HYPERLINK("https://klasma.github.io/Logging_1384/klagomål/A 35165-2026 FSC-klagomål.docx", "A 35165-2026")</f>
        <v/>
      </c>
      <c r="AB24">
        <f>HYPERLINK("https://klasma.github.io/Logging_1384/klagomålsmail/A 35165-2026 FSC-klagomål mail.docx", "A 35165-2026")</f>
        <v/>
      </c>
      <c r="AC24">
        <f>HYPERLINK("https://klasma.github.io/Logging_1384/tillsyn/A 35165-2026 tillsynsbegäran.docx", "A 35165-2026")</f>
        <v/>
      </c>
      <c r="AD24">
        <f>HYPERLINK("https://klasma.github.io/Logging_1384/tillsynsmail/A 35165-2026 tillsynsbegäran mail.docx", "A 35165-2026")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46291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9527-2024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46291</v>
      </c>
      <c r="F26" t="inlineStr">
        <is>
          <t>HALLANDS LÄN</t>
        </is>
      </c>
      <c r="G26" t="inlineStr">
        <is>
          <t>KUNGSBACKA</t>
        </is>
      </c>
      <c r="H26" t="inlineStr">
        <is>
          <t>Kyrkan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Backsvala</t>
        </is>
      </c>
      <c r="W26">
        <f>HYPERLINK("https://klasma.github.io/Logging_1384/artfynd/A 9527-2024 artfynd.xlsx", "A 9527-2024")</f>
        <v/>
      </c>
      <c r="X26">
        <f>HYPERLINK("https://klasma.github.io/Logging_1384/kartor/A 9527-2024 karta.png", "A 9527-2024")</f>
        <v/>
      </c>
      <c r="Y26">
        <f>HYPERLINK("https://klasma.github.io/Logging_1384/kartor_geotiff/A 9527-2024 georefererad karta.tif", "A 9527-2024")</f>
        <v/>
      </c>
      <c r="AA26">
        <f>HYPERLINK("https://klasma.github.io/Logging_1384/klagomål/A 9527-2024 FSC-klagomål.docx", "A 9527-2024")</f>
        <v/>
      </c>
      <c r="AB26">
        <f>HYPERLINK("https://klasma.github.io/Logging_1384/klagomålsmail/A 9527-2024 FSC-klagomål mail.docx", "A 9527-2024")</f>
        <v/>
      </c>
      <c r="AC26">
        <f>HYPERLINK("https://klasma.github.io/Logging_1384/tillsyn/A 9527-2024 tillsynsbegäran.docx", "A 9527-2024")</f>
        <v/>
      </c>
      <c r="AD26">
        <f>HYPERLINK("https://klasma.github.io/Logging_1384/tillsynsmail/A 9527-2024 tillsynsbegäran mail.docx", "A 9527-2024")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46291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46291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46291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46291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46291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46291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46291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46291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46291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46291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46291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46291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46291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46291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46291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10949-2024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45370</v>
      </c>
      <c r="E46" s="1" t="n">
        <v>46291</v>
      </c>
      <c r="F46" t="inlineStr">
        <is>
          <t>HALLANDS LÄN</t>
        </is>
      </c>
      <c r="G46" t="inlineStr">
        <is>
          <t>KUNGSBACKA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46291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46291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44925</v>
      </c>
      <c r="E49" s="1" t="n">
        <v>46291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53051-2021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46291</v>
      </c>
      <c r="F50" t="inlineStr">
        <is>
          <t>HALLANDS LÄN</t>
        </is>
      </c>
      <c r="G50" t="inlineStr">
        <is>
          <t>KUNGSBACKA</t>
        </is>
      </c>
      <c r="H50" t="inlineStr">
        <is>
          <t>Kommuner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45504</v>
      </c>
      <c r="E51" s="1" t="n">
        <v>46291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46291</v>
      </c>
      <c r="F52" t="inlineStr">
        <is>
          <t>HALLANDS LÄN</t>
        </is>
      </c>
      <c r="G52" t="inlineStr">
        <is>
          <t>KUNGSBACKA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46291</v>
      </c>
      <c r="F53" t="inlineStr">
        <is>
          <t>HALLANDS LÄN</t>
        </is>
      </c>
      <c r="G53" t="inlineStr">
        <is>
          <t>KUNGSBACKA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46291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46291</v>
      </c>
      <c r="F55" t="inlineStr">
        <is>
          <t>HALLANDS LÄN</t>
        </is>
      </c>
      <c r="G55" t="inlineStr">
        <is>
          <t>KUNGSBACKA</t>
        </is>
      </c>
      <c r="I55" t="n">
        <v>19.2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45532</v>
      </c>
      <c r="E56" s="1" t="n">
        <v>46291</v>
      </c>
      <c r="F56" t="inlineStr">
        <is>
          <t>HALLANDS LÄN</t>
        </is>
      </c>
      <c r="G56" t="inlineStr">
        <is>
          <t>KUNGSBACKA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45532</v>
      </c>
      <c r="E57" s="1" t="n">
        <v>46291</v>
      </c>
      <c r="F57" t="inlineStr">
        <is>
          <t>HALLANDS LÄN</t>
        </is>
      </c>
      <c r="G57" t="inlineStr">
        <is>
          <t>KUNGSBACKA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46291</v>
      </c>
      <c r="F58" t="inlineStr">
        <is>
          <t>HALLANDS LÄN</t>
        </is>
      </c>
      <c r="G58" t="inlineStr">
        <is>
          <t>KUNGSBACKA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46291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46291</v>
      </c>
      <c r="F60" t="inlineStr">
        <is>
          <t>HALLANDS LÄN</t>
        </is>
      </c>
      <c r="G60" t="inlineStr">
        <is>
          <t>KUNGSBACKA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39066-2025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45888</v>
      </c>
      <c r="E61" s="1" t="n">
        <v>46291</v>
      </c>
      <c r="F61" t="inlineStr">
        <is>
          <t>HALLANDS LÄN</t>
        </is>
      </c>
      <c r="G61" t="inlineStr">
        <is>
          <t>KUNGSBACKA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46291</v>
      </c>
      <c r="F62" t="inlineStr">
        <is>
          <t>HALLANDS LÄN</t>
        </is>
      </c>
      <c r="G62" t="inlineStr">
        <is>
          <t>KUNGSBACKA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44971</v>
      </c>
      <c r="E63" s="1" t="n">
        <v>46291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59623-2024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45638</v>
      </c>
      <c r="E64" s="1" t="n">
        <v>46291</v>
      </c>
      <c r="F64" t="inlineStr">
        <is>
          <t>HALLANDS LÄN</t>
        </is>
      </c>
      <c r="G64" t="inlineStr">
        <is>
          <t>KUNGSBACKA</t>
        </is>
      </c>
      <c r="I64" t="n">
        <v>19.2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46291</v>
      </c>
      <c r="F65" t="inlineStr">
        <is>
          <t>HALLANDS LÄN</t>
        </is>
      </c>
      <c r="G65" t="inlineStr">
        <is>
          <t>KUNGSBACKA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46291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46291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46291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46052</v>
      </c>
      <c r="E69" s="1" t="n">
        <v>46291</v>
      </c>
      <c r="F69" t="inlineStr">
        <is>
          <t>HALLANDS LÄN</t>
        </is>
      </c>
      <c r="G69" t="inlineStr">
        <is>
          <t>KUNGSBACKA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64363-2023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46291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46054</v>
      </c>
      <c r="E71" s="1" t="n">
        <v>46291</v>
      </c>
      <c r="F71" t="inlineStr">
        <is>
          <t>HALLANDS LÄN</t>
        </is>
      </c>
      <c r="G71" t="inlineStr">
        <is>
          <t>KUNGSBACKA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46054</v>
      </c>
      <c r="E72" s="1" t="n">
        <v>46291</v>
      </c>
      <c r="F72" t="inlineStr">
        <is>
          <t>HALLANDS LÄN</t>
        </is>
      </c>
      <c r="G72" t="inlineStr">
        <is>
          <t>KUNGSBACKA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46054</v>
      </c>
      <c r="E73" s="1" t="n">
        <v>46291</v>
      </c>
      <c r="F73" t="inlineStr">
        <is>
          <t>HALLANDS LÄN</t>
        </is>
      </c>
      <c r="G73" t="inlineStr">
        <is>
          <t>KUNGSBACKA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46291</v>
      </c>
      <c r="F74" t="inlineStr">
        <is>
          <t>HALLANDS LÄN</t>
        </is>
      </c>
      <c r="G74" t="inlineStr">
        <is>
          <t>KUNGSBACKA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11958-2023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46291</v>
      </c>
      <c r="F75" t="inlineStr">
        <is>
          <t>HALLANDS LÄN</t>
        </is>
      </c>
      <c r="G75" t="inlineStr">
        <is>
          <t>KUNGSBACKA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44897</v>
      </c>
      <c r="E76" s="1" t="n">
        <v>46291</v>
      </c>
      <c r="F76" t="inlineStr">
        <is>
          <t>HALLANDS LÄN</t>
        </is>
      </c>
      <c r="G76" t="inlineStr">
        <is>
          <t>KUNGSBACKA</t>
        </is>
      </c>
      <c r="I76" t="n">
        <v>18.8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45726</v>
      </c>
      <c r="E77" s="1" t="n">
        <v>46291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46291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45510</v>
      </c>
      <c r="E79" s="1" t="n">
        <v>46291</v>
      </c>
      <c r="F79" t="inlineStr">
        <is>
          <t>HALLANDS LÄN</t>
        </is>
      </c>
      <c r="G79" t="inlineStr">
        <is>
          <t>KUNGSBACKA</t>
        </is>
      </c>
      <c r="H79" t="inlineStr">
        <is>
          <t>Kyrkan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8743-2026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46291</v>
      </c>
      <c r="F80" t="inlineStr">
        <is>
          <t>HALLANDS LÄN</t>
        </is>
      </c>
      <c r="G80" t="inlineStr">
        <is>
          <t>KUNGSBACKA</t>
        </is>
      </c>
      <c r="H80" t="inlineStr">
        <is>
          <t>Kommuner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46291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45632-2025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46291</v>
      </c>
      <c r="F82" t="inlineStr">
        <is>
          <t>HALLANDS LÄN</t>
        </is>
      </c>
      <c r="G82" t="inlineStr">
        <is>
          <t>KUNGSBACKA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46291</v>
      </c>
      <c r="F83" t="inlineStr">
        <is>
          <t>HALLANDS LÄN</t>
        </is>
      </c>
      <c r="G83" t="inlineStr">
        <is>
          <t>KUNGSBACKA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52317-2022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44873</v>
      </c>
      <c r="E84" s="1" t="n">
        <v>46291</v>
      </c>
      <c r="F84" t="inlineStr">
        <is>
          <t>HALLANDS LÄN</t>
        </is>
      </c>
      <c r="G84" t="inlineStr">
        <is>
          <t>KUNGSBACKA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46291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10753-2026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46291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47452-2025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46291</v>
      </c>
      <c r="F87" t="inlineStr">
        <is>
          <t>HALLANDS LÄN</t>
        </is>
      </c>
      <c r="G87" t="inlineStr">
        <is>
          <t>KUNGSBACKA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10799-2026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46291</v>
      </c>
      <c r="F88" t="inlineStr">
        <is>
          <t>HALLANDS LÄN</t>
        </is>
      </c>
      <c r="G88" t="inlineStr">
        <is>
          <t>KUNGSBACKA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46291</v>
      </c>
      <c r="F89" t="inlineStr">
        <is>
          <t>HALLANDS LÄN</t>
        </is>
      </c>
      <c r="G89" t="inlineStr">
        <is>
          <t>KUNGSBACKA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46291</v>
      </c>
      <c r="F90" t="inlineStr">
        <is>
          <t>HALLANDS LÄN</t>
        </is>
      </c>
      <c r="G90" t="inlineStr">
        <is>
          <t>KUNGSBACKA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46291</v>
      </c>
      <c r="F91" t="inlineStr">
        <is>
          <t>HALLANDS LÄN</t>
        </is>
      </c>
      <c r="G91" t="inlineStr">
        <is>
          <t>KUNGSBACKA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46291</v>
      </c>
      <c r="F92" t="inlineStr">
        <is>
          <t>HALLANDS LÄN</t>
        </is>
      </c>
      <c r="G92" t="inlineStr">
        <is>
          <t>KUNGSBACKA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46291</v>
      </c>
      <c r="F93" t="inlineStr">
        <is>
          <t>HALLANDS LÄN</t>
        </is>
      </c>
      <c r="G93" t="inlineStr">
        <is>
          <t>KUNGSBACKA</t>
        </is>
      </c>
      <c r="I93" t="n">
        <v>13.8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46291</v>
      </c>
      <c r="F94" t="inlineStr">
        <is>
          <t>HALLANDS LÄN</t>
        </is>
      </c>
      <c r="G94" t="inlineStr">
        <is>
          <t>KUNGSBACKA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46291</v>
      </c>
      <c r="F95" t="inlineStr">
        <is>
          <t>HALLANDS LÄN</t>
        </is>
      </c>
      <c r="G95" t="inlineStr">
        <is>
          <t>KUNGSBACKA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46291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51523-2025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45950</v>
      </c>
      <c r="E97" s="1" t="n">
        <v>46291</v>
      </c>
      <c r="F97" t="inlineStr">
        <is>
          <t>HALLANDS LÄN</t>
        </is>
      </c>
      <c r="G97" t="inlineStr">
        <is>
          <t>KUNGSBACKA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46291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46291</v>
      </c>
      <c r="F99" t="inlineStr">
        <is>
          <t>HALLANDS LÄN</t>
        </is>
      </c>
      <c r="G99" t="inlineStr">
        <is>
          <t>KUNGSBACKA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46291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44967</v>
      </c>
      <c r="E101" s="1" t="n">
        <v>46291</v>
      </c>
      <c r="F101" t="inlineStr">
        <is>
          <t>HALLANDS LÄN</t>
        </is>
      </c>
      <c r="G101" t="inlineStr">
        <is>
          <t>KUNGSBACKA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46291</v>
      </c>
      <c r="F102" t="inlineStr">
        <is>
          <t>HALLANDS LÄN</t>
        </is>
      </c>
      <c r="G102" t="inlineStr">
        <is>
          <t>KUNGSBACKA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45960</v>
      </c>
      <c r="E103" s="1" t="n">
        <v>46291</v>
      </c>
      <c r="F103" t="inlineStr">
        <is>
          <t>HALLANDS LÄN</t>
        </is>
      </c>
      <c r="G103" t="inlineStr">
        <is>
          <t>KUNGSBACKA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18077-2026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46125</v>
      </c>
      <c r="E104" s="1" t="n">
        <v>46291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44684</v>
      </c>
      <c r="E105" s="1" t="n">
        <v>46291</v>
      </c>
      <c r="F105" t="inlineStr">
        <is>
          <t>HALLANDS LÄN</t>
        </is>
      </c>
      <c r="G105" t="inlineStr">
        <is>
          <t>KUNGSBACKA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55272-2025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45968</v>
      </c>
      <c r="E106" s="1" t="n">
        <v>46291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45706</v>
      </c>
      <c r="E107" s="1" t="n">
        <v>46291</v>
      </c>
      <c r="F107" t="inlineStr">
        <is>
          <t>HALLANDS LÄN</t>
        </is>
      </c>
      <c r="G107" t="inlineStr">
        <is>
          <t>KUNGSBACKA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46291</v>
      </c>
      <c r="F108" t="inlineStr">
        <is>
          <t>HALLANDS LÄN</t>
        </is>
      </c>
      <c r="G108" t="inlineStr">
        <is>
          <t>KUNGSBACKA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46291</v>
      </c>
      <c r="F109" t="inlineStr">
        <is>
          <t>HALLANDS LÄN</t>
        </is>
      </c>
      <c r="G109" t="inlineStr">
        <is>
          <t>KUNGSBACKA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46291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46291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46291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46291</v>
      </c>
      <c r="F113" t="inlineStr">
        <is>
          <t>HALLANDS LÄN</t>
        </is>
      </c>
      <c r="G113" t="inlineStr">
        <is>
          <t>KUNGSBACKA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46291</v>
      </c>
      <c r="F114" t="inlineStr">
        <is>
          <t>HALLANDS LÄN</t>
        </is>
      </c>
      <c r="G114" t="inlineStr">
        <is>
          <t>KUNGSBACKA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46291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45607</v>
      </c>
      <c r="E116" s="1" t="n">
        <v>46291</v>
      </c>
      <c r="F116" t="inlineStr">
        <is>
          <t>HALLANDS LÄN</t>
        </is>
      </c>
      <c r="G116" t="inlineStr">
        <is>
          <t>KUNGSBACKA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46291</v>
      </c>
      <c r="F117" t="inlineStr">
        <is>
          <t>HALLANDS LÄN</t>
        </is>
      </c>
      <c r="G117" t="inlineStr">
        <is>
          <t>KUNGSBACKA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45817</v>
      </c>
      <c r="E118" s="1" t="n">
        <v>46291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45698</v>
      </c>
      <c r="E119" s="1" t="n">
        <v>46291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46291</v>
      </c>
      <c r="F120" t="inlineStr">
        <is>
          <t>HALLANDS LÄN</t>
        </is>
      </c>
      <c r="G120" t="inlineStr">
        <is>
          <t>KUNGSBACKA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46291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46291</v>
      </c>
      <c r="F122" t="inlineStr">
        <is>
          <t>HALLANDS LÄN</t>
        </is>
      </c>
      <c r="G122" t="inlineStr">
        <is>
          <t>KUNGSBACKA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46291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46291</v>
      </c>
      <c r="F124" t="inlineStr">
        <is>
          <t>HALLANDS LÄN</t>
        </is>
      </c>
      <c r="G124" t="inlineStr">
        <is>
          <t>KUNGSBACKA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45801</v>
      </c>
      <c r="E125" s="1" t="n">
        <v>46291</v>
      </c>
      <c r="F125" t="inlineStr">
        <is>
          <t>HALLANDS LÄN</t>
        </is>
      </c>
      <c r="G125" t="inlineStr">
        <is>
          <t>KUNGSBACKA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46291</v>
      </c>
      <c r="F126" t="inlineStr">
        <is>
          <t>HALLANDS LÄN</t>
        </is>
      </c>
      <c r="G126" t="inlineStr">
        <is>
          <t>KUNGSBACKA</t>
        </is>
      </c>
      <c r="H126" t="inlineStr">
        <is>
          <t>Övriga Aktiebolag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46291</v>
      </c>
      <c r="F127" t="inlineStr">
        <is>
          <t>HALLANDS LÄN</t>
        </is>
      </c>
      <c r="G127" t="inlineStr">
        <is>
          <t>KUNGSBACKA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45744</v>
      </c>
      <c r="E128" s="1" t="n">
        <v>46291</v>
      </c>
      <c r="F128" t="inlineStr">
        <is>
          <t>HALLANDS LÄN</t>
        </is>
      </c>
      <c r="G128" t="inlineStr">
        <is>
          <t>KUNGSBACKA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46291</v>
      </c>
      <c r="F129" t="inlineStr">
        <is>
          <t>HALLANDS LÄN</t>
        </is>
      </c>
      <c r="G129" t="inlineStr">
        <is>
          <t>KUNGSBACKA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46291</v>
      </c>
      <c r="F130" t="inlineStr">
        <is>
          <t>HALLANDS LÄN</t>
        </is>
      </c>
      <c r="G130" t="inlineStr">
        <is>
          <t>KUNGSBACKA</t>
        </is>
      </c>
      <c r="H130" t="inlineStr">
        <is>
          <t>Övriga Aktiebolag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46291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46291</v>
      </c>
      <c r="F132" t="inlineStr">
        <is>
          <t>HALLANDS LÄN</t>
        </is>
      </c>
      <c r="G132" t="inlineStr">
        <is>
          <t>KUNGSBACKA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46291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46291</v>
      </c>
      <c r="F134" t="inlineStr">
        <is>
          <t>HALLANDS LÄN</t>
        </is>
      </c>
      <c r="G134" t="inlineStr">
        <is>
          <t>KUNGSBACKA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46291</v>
      </c>
      <c r="F135" t="inlineStr">
        <is>
          <t>HALLANDS LÄN</t>
        </is>
      </c>
      <c r="G135" t="inlineStr">
        <is>
          <t>KUNGSBACKA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45867</v>
      </c>
      <c r="E136" s="1" t="n">
        <v>46291</v>
      </c>
      <c r="F136" t="inlineStr">
        <is>
          <t>HALLANDS LÄN</t>
        </is>
      </c>
      <c r="G136" t="inlineStr">
        <is>
          <t>KUNGSBACKA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46291</v>
      </c>
      <c r="F137" t="inlineStr">
        <is>
          <t>HALLANDS LÄN</t>
        </is>
      </c>
      <c r="G137" t="inlineStr">
        <is>
          <t>KUNGSBACKA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9965-2025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46291</v>
      </c>
      <c r="F138" t="inlineStr">
        <is>
          <t>HALLANDS LÄN</t>
        </is>
      </c>
      <c r="G138" t="inlineStr">
        <is>
          <t>KUNGSBACKA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9976-2025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45719</v>
      </c>
      <c r="E139" s="1" t="n">
        <v>46291</v>
      </c>
      <c r="F139" t="inlineStr">
        <is>
          <t>HALLANDS LÄN</t>
        </is>
      </c>
      <c r="G139" t="inlineStr">
        <is>
          <t>KUNGSBACKA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46291</v>
      </c>
      <c r="F140" t="inlineStr">
        <is>
          <t>HALLANDS LÄN</t>
        </is>
      </c>
      <c r="G140" t="inlineStr">
        <is>
          <t>KUNGSBACKA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45205</v>
      </c>
      <c r="E141" s="1" t="n">
        <v>46291</v>
      </c>
      <c r="F141" t="inlineStr">
        <is>
          <t>HALLANDS LÄN</t>
        </is>
      </c>
      <c r="G141" t="inlineStr">
        <is>
          <t>KUNGSBACKA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46291</v>
      </c>
      <c r="F142" t="inlineStr">
        <is>
          <t>HALLANDS LÄN</t>
        </is>
      </c>
      <c r="G142" t="inlineStr">
        <is>
          <t>KUNGSBACKA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46291</v>
      </c>
      <c r="F143" t="inlineStr">
        <is>
          <t>HALLANDS LÄN</t>
        </is>
      </c>
      <c r="G143" t="inlineStr">
        <is>
          <t>KUNGSBACKA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46291</v>
      </c>
      <c r="F144" t="inlineStr">
        <is>
          <t>HALLANDS LÄN</t>
        </is>
      </c>
      <c r="G144" t="inlineStr">
        <is>
          <t>KUNGSBACKA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46291</v>
      </c>
      <c r="F145" t="inlineStr">
        <is>
          <t>HALLANDS LÄN</t>
        </is>
      </c>
      <c r="G145" t="inlineStr">
        <is>
          <t>KUNGSBACKA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46291</v>
      </c>
      <c r="F146" t="inlineStr">
        <is>
          <t>HALLANDS LÄN</t>
        </is>
      </c>
      <c r="G146" t="inlineStr">
        <is>
          <t>KUNGSBACKA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16075-2025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45749</v>
      </c>
      <c r="E147" s="1" t="n">
        <v>46291</v>
      </c>
      <c r="F147" t="inlineStr">
        <is>
          <t>HALLANDS LÄN</t>
        </is>
      </c>
      <c r="G147" t="inlineStr">
        <is>
          <t>KUNGSBACKA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45461</v>
      </c>
      <c r="E148" s="1" t="n">
        <v>46291</v>
      </c>
      <c r="F148" t="inlineStr">
        <is>
          <t>HALLANDS LÄN</t>
        </is>
      </c>
      <c r="G148" t="inlineStr">
        <is>
          <t>KUNGSBACKA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46291</v>
      </c>
      <c r="F149" t="inlineStr">
        <is>
          <t>HALLANDS LÄN</t>
        </is>
      </c>
      <c r="G149" t="inlineStr">
        <is>
          <t>KUNGSBACKA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46291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46291</v>
      </c>
      <c r="F151" t="inlineStr">
        <is>
          <t>HALLANDS LÄN</t>
        </is>
      </c>
      <c r="G151" t="inlineStr">
        <is>
          <t>KUNGSBACKA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44674-2025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45917</v>
      </c>
      <c r="E152" s="1" t="n">
        <v>46291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46291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46291</v>
      </c>
      <c r="F154" t="inlineStr">
        <is>
          <t>HALLANDS LÄN</t>
        </is>
      </c>
      <c r="G154" t="inlineStr">
        <is>
          <t>KUNGSBACKA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46291</v>
      </c>
      <c r="F155" t="inlineStr">
        <is>
          <t>HALLANDS LÄN</t>
        </is>
      </c>
      <c r="G155" t="inlineStr">
        <is>
          <t>KUNGSBACKA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46291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46291</v>
      </c>
      <c r="F157" t="inlineStr">
        <is>
          <t>HALLANDS LÄN</t>
        </is>
      </c>
      <c r="G157" t="inlineStr">
        <is>
          <t>KUNGSBACKA</t>
        </is>
      </c>
      <c r="I157" t="n">
        <v>15.2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46291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45656</v>
      </c>
      <c r="E159" s="1" t="n">
        <v>46291</v>
      </c>
      <c r="F159" t="inlineStr">
        <is>
          <t>HALLANDS LÄN</t>
        </is>
      </c>
      <c r="G159" t="inlineStr">
        <is>
          <t>KUNGSBACKA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34086-2025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45845</v>
      </c>
      <c r="E160" s="1" t="n">
        <v>46291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45846</v>
      </c>
      <c r="E161" s="1" t="n">
        <v>46291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46291</v>
      </c>
      <c r="F162" t="inlineStr">
        <is>
          <t>HALLANDS LÄN</t>
        </is>
      </c>
      <c r="G162" t="inlineStr">
        <is>
          <t>KUNGSBACKA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46291</v>
      </c>
      <c r="F163" t="inlineStr">
        <is>
          <t>HALLANDS LÄN</t>
        </is>
      </c>
      <c r="G163" t="inlineStr">
        <is>
          <t>KUNGSBACKA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45848</v>
      </c>
      <c r="E164" s="1" t="n">
        <v>46291</v>
      </c>
      <c r="F164" t="inlineStr">
        <is>
          <t>HALLANDS LÄN</t>
        </is>
      </c>
      <c r="G164" t="inlineStr">
        <is>
          <t>KUNGSBACKA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45756</v>
      </c>
      <c r="E165" s="1" t="n">
        <v>46291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46291</v>
      </c>
      <c r="F166" t="inlineStr">
        <is>
          <t>HALLANDS LÄN</t>
        </is>
      </c>
      <c r="G166" t="inlineStr">
        <is>
          <t>KUNGSBACKA</t>
        </is>
      </c>
      <c r="H166" t="inlineStr">
        <is>
          <t>Övriga Aktiebolag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45653</v>
      </c>
      <c r="E167" s="1" t="n">
        <v>46291</v>
      </c>
      <c r="F167" t="inlineStr">
        <is>
          <t>HALLANDS LÄN</t>
        </is>
      </c>
      <c r="G167" t="inlineStr">
        <is>
          <t>KUNGSBACKA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46291</v>
      </c>
      <c r="F168" t="inlineStr">
        <is>
          <t>HALLANDS LÄN</t>
        </is>
      </c>
      <c r="G168" t="inlineStr">
        <is>
          <t>KUNGSBACKA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46291</v>
      </c>
      <c r="F169" t="inlineStr">
        <is>
          <t>HALLANDS LÄN</t>
        </is>
      </c>
      <c r="G169" t="inlineStr">
        <is>
          <t>KUNGSBACKA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34975-2025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45849</v>
      </c>
      <c r="E170" s="1" t="n">
        <v>46291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46291</v>
      </c>
      <c r="F171" t="inlineStr">
        <is>
          <t>HALLANDS LÄN</t>
        </is>
      </c>
      <c r="G171" t="inlineStr">
        <is>
          <t>KUNGSBACKA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46291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45861</v>
      </c>
      <c r="E173" s="1" t="n">
        <v>46291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12064-2023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46291</v>
      </c>
      <c r="F174" t="inlineStr">
        <is>
          <t>HALLANDS LÄN</t>
        </is>
      </c>
      <c r="G174" t="inlineStr">
        <is>
          <t>KUNGSBACKA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71676-2021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44539</v>
      </c>
      <c r="E175" s="1" t="n">
        <v>46291</v>
      </c>
      <c r="F175" t="inlineStr">
        <is>
          <t>HALLANDS LÄN</t>
        </is>
      </c>
      <c r="G175" t="inlineStr">
        <is>
          <t>KUNGSBACKA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46291</v>
      </c>
      <c r="F176" t="inlineStr">
        <is>
          <t>HALLANDS LÄN</t>
        </is>
      </c>
      <c r="G176" t="inlineStr">
        <is>
          <t>KUNGSBACKA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14898-2023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45014</v>
      </c>
      <c r="E177" s="1" t="n">
        <v>46291</v>
      </c>
      <c r="F177" t="inlineStr">
        <is>
          <t>HALLANDS LÄN</t>
        </is>
      </c>
      <c r="G177" t="inlineStr">
        <is>
          <t>KUNGSBACKA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46291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46291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46176</v>
      </c>
      <c r="E180" s="1" t="n">
        <v>46291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25351-2026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46176</v>
      </c>
      <c r="E181" s="1" t="n">
        <v>46291</v>
      </c>
      <c r="F181" t="inlineStr">
        <is>
          <t>HALLANDS LÄN</t>
        </is>
      </c>
      <c r="G181" t="inlineStr">
        <is>
          <t>KUNGSBACKA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46176</v>
      </c>
      <c r="E182" s="1" t="n">
        <v>46291</v>
      </c>
      <c r="F182" t="inlineStr">
        <is>
          <t>HALLANDS LÄN</t>
        </is>
      </c>
      <c r="G182" t="inlineStr">
        <is>
          <t>KUNGSBACKA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46176</v>
      </c>
      <c r="E183" s="1" t="n">
        <v>46291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46291</v>
      </c>
      <c r="F184" t="inlineStr">
        <is>
          <t>HALLANDS LÄN</t>
        </is>
      </c>
      <c r="G184" t="inlineStr">
        <is>
          <t>KUNGSBACKA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45478</v>
      </c>
      <c r="E185" s="1" t="n">
        <v>46291</v>
      </c>
      <c r="F185" t="inlineStr">
        <is>
          <t>HALLANDS LÄN</t>
        </is>
      </c>
      <c r="G185" t="inlineStr">
        <is>
          <t>KUNGSBACKA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46291</v>
      </c>
      <c r="F186" t="inlineStr">
        <is>
          <t>HALLANDS LÄN</t>
        </is>
      </c>
      <c r="G186" t="inlineStr">
        <is>
          <t>KUNGSBACKA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45847</v>
      </c>
      <c r="E187" s="1" t="n">
        <v>46291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46291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46291</v>
      </c>
      <c r="F189" t="inlineStr">
        <is>
          <t>HALLANDS LÄN</t>
        </is>
      </c>
      <c r="G189" t="inlineStr">
        <is>
          <t>KUNGSBACKA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45337</v>
      </c>
      <c r="E190" s="1" t="n">
        <v>46291</v>
      </c>
      <c r="F190" t="inlineStr">
        <is>
          <t>HALLANDS LÄN</t>
        </is>
      </c>
      <c r="G190" t="inlineStr">
        <is>
          <t>KUNGSBACKA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46291</v>
      </c>
      <c r="F191" t="inlineStr">
        <is>
          <t>HALLANDS LÄN</t>
        </is>
      </c>
      <c r="G191" t="inlineStr">
        <is>
          <t>KUNGSBACKA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45028</v>
      </c>
      <c r="E192" s="1" t="n">
        <v>46291</v>
      </c>
      <c r="F192" t="inlineStr">
        <is>
          <t>HALLANDS LÄN</t>
        </is>
      </c>
      <c r="G192" t="inlineStr">
        <is>
          <t>KUNGSBACKA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46291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46291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46291</v>
      </c>
      <c r="F195" t="inlineStr">
        <is>
          <t>HALLANDS LÄN</t>
        </is>
      </c>
      <c r="G195" t="inlineStr">
        <is>
          <t>KUNGSBACKA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57812-2024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45631</v>
      </c>
      <c r="E196" s="1" t="n">
        <v>46291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45686</v>
      </c>
      <c r="E197" s="1" t="n">
        <v>46291</v>
      </c>
      <c r="F197" t="inlineStr">
        <is>
          <t>HALLANDS LÄN</t>
        </is>
      </c>
      <c r="G197" t="inlineStr">
        <is>
          <t>KUNGSBACKA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21279-2024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45440</v>
      </c>
      <c r="E198" s="1" t="n">
        <v>46291</v>
      </c>
      <c r="F198" t="inlineStr">
        <is>
          <t>HALLANDS LÄN</t>
        </is>
      </c>
      <c r="G198" t="inlineStr">
        <is>
          <t>KUNGSBACKA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46291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46291</v>
      </c>
      <c r="F200" t="inlineStr">
        <is>
          <t>HALLANDS LÄN</t>
        </is>
      </c>
      <c r="G200" t="inlineStr">
        <is>
          <t>KUNGSBACKA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10396-2024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46291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26675-2026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46291</v>
      </c>
      <c r="F202" t="inlineStr">
        <is>
          <t>HALLANDS LÄN</t>
        </is>
      </c>
      <c r="G202" t="inlineStr">
        <is>
          <t>KUNGSBACKA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46291</v>
      </c>
      <c r="F203" t="inlineStr">
        <is>
          <t>HALLANDS LÄN</t>
        </is>
      </c>
      <c r="G203" t="inlineStr">
        <is>
          <t>KUNGSBACKA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46291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46291</v>
      </c>
      <c r="F205" t="inlineStr">
        <is>
          <t>HALLANDS LÄN</t>
        </is>
      </c>
      <c r="G205" t="inlineStr">
        <is>
          <t>KUNGSBACKA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46291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46291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46291</v>
      </c>
      <c r="F208" t="inlineStr">
        <is>
          <t>HALLANDS LÄN</t>
        </is>
      </c>
      <c r="G208" t="inlineStr">
        <is>
          <t>KUNGSBACKA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46184</v>
      </c>
      <c r="E209" s="1" t="n">
        <v>46291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46291</v>
      </c>
      <c r="F210" t="inlineStr">
        <is>
          <t>HALLANDS LÄN</t>
        </is>
      </c>
      <c r="G210" t="inlineStr">
        <is>
          <t>KUNGSBACKA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26699-2026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46184</v>
      </c>
      <c r="E211" s="1" t="n">
        <v>46291</v>
      </c>
      <c r="F211" t="inlineStr">
        <is>
          <t>HALLANDS LÄN</t>
        </is>
      </c>
      <c r="G211" t="inlineStr">
        <is>
          <t>KUNGSBACKA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26701-2026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46184</v>
      </c>
      <c r="E212" s="1" t="n">
        <v>46291</v>
      </c>
      <c r="F212" t="inlineStr">
        <is>
          <t>HALLANDS LÄN</t>
        </is>
      </c>
      <c r="G212" t="inlineStr">
        <is>
          <t>KUNGSBACKA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63104-2023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46291</v>
      </c>
      <c r="F213" t="inlineStr">
        <is>
          <t>HALLANDS LÄN</t>
        </is>
      </c>
      <c r="G213" t="inlineStr">
        <is>
          <t>KUNGSBACKA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26145-2023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46291</v>
      </c>
      <c r="F214" t="inlineStr">
        <is>
          <t>HALLANDS LÄN</t>
        </is>
      </c>
      <c r="G214" t="inlineStr">
        <is>
          <t>KUNGSBACKA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45134</v>
      </c>
      <c r="E215" s="1" t="n">
        <v>46291</v>
      </c>
      <c r="F215" t="inlineStr">
        <is>
          <t>HALLANDS LÄN</t>
        </is>
      </c>
      <c r="G215" t="inlineStr">
        <is>
          <t>KUNGSBACKA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46291</v>
      </c>
      <c r="F216" t="inlineStr">
        <is>
          <t>HALLANDS LÄN</t>
        </is>
      </c>
      <c r="G216" t="inlineStr">
        <is>
          <t>KUNGSBACKA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45639</v>
      </c>
      <c r="E217" s="1" t="n">
        <v>46291</v>
      </c>
      <c r="F217" t="inlineStr">
        <is>
          <t>HALLANDS LÄN</t>
        </is>
      </c>
      <c r="G217" t="inlineStr">
        <is>
          <t>KUNGSBACKA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46291</v>
      </c>
      <c r="F218" t="inlineStr">
        <is>
          <t>HALLANDS LÄN</t>
        </is>
      </c>
      <c r="G218" t="inlineStr">
        <is>
          <t>KUNGSBACKA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46291</v>
      </c>
      <c r="F219" t="inlineStr">
        <is>
          <t>HALLANDS LÄN</t>
        </is>
      </c>
      <c r="G219" t="inlineStr">
        <is>
          <t>KUNGSBACKA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46291</v>
      </c>
      <c r="F220" t="inlineStr">
        <is>
          <t>HALLANDS LÄN</t>
        </is>
      </c>
      <c r="G220" t="inlineStr">
        <is>
          <t>KUNGSBACKA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46291</v>
      </c>
      <c r="F221" t="inlineStr">
        <is>
          <t>HALLANDS LÄN</t>
        </is>
      </c>
      <c r="G221" t="inlineStr">
        <is>
          <t>KUNGSBACKA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45561</v>
      </c>
      <c r="E222" s="1" t="n">
        <v>46291</v>
      </c>
      <c r="F222" t="inlineStr">
        <is>
          <t>HALLANDS LÄN</t>
        </is>
      </c>
      <c r="G222" t="inlineStr">
        <is>
          <t>KUNGSBACKA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46291</v>
      </c>
      <c r="F223" t="inlineStr">
        <is>
          <t>HALLANDS LÄN</t>
        </is>
      </c>
      <c r="G223" t="inlineStr">
        <is>
          <t>KUNGSBACKA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44925</v>
      </c>
      <c r="E224" s="1" t="n">
        <v>46291</v>
      </c>
      <c r="F224" t="inlineStr">
        <is>
          <t>HALLANDS LÄN</t>
        </is>
      </c>
      <c r="G224" t="inlineStr">
        <is>
          <t>KUNGSBACKA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46291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46291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12404-2023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44999</v>
      </c>
      <c r="E227" s="1" t="n">
        <v>46291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46197</v>
      </c>
      <c r="E228" s="1" t="n">
        <v>46291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28515-2026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46197</v>
      </c>
      <c r="E229" s="1" t="n">
        <v>46291</v>
      </c>
      <c r="F229" t="inlineStr">
        <is>
          <t>HALLANDS LÄN</t>
        </is>
      </c>
      <c r="G229" t="inlineStr">
        <is>
          <t>KUNGSBACKA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45587</v>
      </c>
      <c r="E230" s="1" t="n">
        <v>46291</v>
      </c>
      <c r="F230" t="inlineStr">
        <is>
          <t>HALLANDS LÄN</t>
        </is>
      </c>
      <c r="G230" t="inlineStr">
        <is>
          <t>KUNGSBACKA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46291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14721-2025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45742</v>
      </c>
      <c r="E232" s="1" t="n">
        <v>46291</v>
      </c>
      <c r="F232" t="inlineStr">
        <is>
          <t>HALLANDS LÄN</t>
        </is>
      </c>
      <c r="G232" t="inlineStr">
        <is>
          <t>KUNGSBACKA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45071</v>
      </c>
      <c r="E233" s="1" t="n">
        <v>46291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45659</v>
      </c>
      <c r="E234" s="1" t="n">
        <v>46291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62141-2024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45656</v>
      </c>
      <c r="E235" s="1" t="n">
        <v>46291</v>
      </c>
      <c r="F235" t="inlineStr">
        <is>
          <t>HALLANDS LÄN</t>
        </is>
      </c>
      <c r="G235" t="inlineStr">
        <is>
          <t>KUNGSBACKA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46291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46291</v>
      </c>
      <c r="F237" t="inlineStr">
        <is>
          <t>HALLANDS LÄN</t>
        </is>
      </c>
      <c r="G237" t="inlineStr">
        <is>
          <t>KUNGSBACKA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46291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33646-2022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44789</v>
      </c>
      <c r="E239" s="1" t="n">
        <v>46291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46258</v>
      </c>
      <c r="E240" s="1" t="n">
        <v>46291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46258</v>
      </c>
      <c r="E241" s="1" t="n">
        <v>46291</v>
      </c>
      <c r="F241" t="inlineStr">
        <is>
          <t>HALLANDS LÄN</t>
        </is>
      </c>
      <c r="G241" t="inlineStr">
        <is>
          <t>KUNGSBACKA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46291</v>
      </c>
      <c r="F242" t="inlineStr">
        <is>
          <t>HALLANDS LÄN</t>
        </is>
      </c>
      <c r="G242" t="inlineStr">
        <is>
          <t>KUNGSBACKA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46291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46291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46260</v>
      </c>
      <c r="E245" s="1" t="n">
        <v>46291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35194-2026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46260</v>
      </c>
      <c r="E246" s="1" t="n">
        <v>46291</v>
      </c>
      <c r="F246" t="inlineStr">
        <is>
          <t>HALLANDS LÄN</t>
        </is>
      </c>
      <c r="G246" t="inlineStr">
        <is>
          <t>KUNGSBACKA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44613</v>
      </c>
      <c r="E247" s="1" t="n">
        <v>46291</v>
      </c>
      <c r="F247" t="inlineStr">
        <is>
          <t>HALLANDS LÄN</t>
        </is>
      </c>
      <c r="G247" t="inlineStr">
        <is>
          <t>KUNGSBACKA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31302-2022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44773</v>
      </c>
      <c r="E248" s="1" t="n">
        <v>46291</v>
      </c>
      <c r="F248" t="inlineStr">
        <is>
          <t>HALLANDS LÄN</t>
        </is>
      </c>
      <c r="G248" t="inlineStr">
        <is>
          <t>KUNGSBACKA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45096</v>
      </c>
      <c r="E249" s="1" t="n">
        <v>46291</v>
      </c>
      <c r="F249" t="inlineStr">
        <is>
          <t>HALLANDS LÄN</t>
        </is>
      </c>
      <c r="G249" t="inlineStr">
        <is>
          <t>KUNGSBACKA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46291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46291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24459-2022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46291</v>
      </c>
      <c r="F252" t="inlineStr">
        <is>
          <t>HALLANDS LÄN</t>
        </is>
      </c>
      <c r="G252" t="inlineStr">
        <is>
          <t>KUNGSBACKA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45719</v>
      </c>
      <c r="E253" s="1" t="n">
        <v>46291</v>
      </c>
      <c r="F253" t="inlineStr">
        <is>
          <t>HALLANDS LÄN</t>
        </is>
      </c>
      <c r="G253" t="inlineStr">
        <is>
          <t>KUNGSBACKA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46291</v>
      </c>
      <c r="F254" t="inlineStr">
        <is>
          <t>HALLANDS LÄN</t>
        </is>
      </c>
      <c r="G254" t="inlineStr">
        <is>
          <t>KUNGSBACKA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46291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46291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46291</v>
      </c>
      <c r="F257" t="inlineStr">
        <is>
          <t>HALLANDS LÄN</t>
        </is>
      </c>
      <c r="G257" t="inlineStr">
        <is>
          <t>KUNGSBACKA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46269</v>
      </c>
      <c r="E258" s="1" t="n">
        <v>46291</v>
      </c>
      <c r="F258" t="inlineStr">
        <is>
          <t>HALLANDS LÄN</t>
        </is>
      </c>
      <c r="G258" t="inlineStr">
        <is>
          <t>KUNGSBACKA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44925</v>
      </c>
      <c r="E259" s="1" t="n">
        <v>46291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46291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37823-2023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46291</v>
      </c>
      <c r="F261" t="inlineStr">
        <is>
          <t>HALLANDS LÄN</t>
        </is>
      </c>
      <c r="G261" t="inlineStr">
        <is>
          <t>KUNGSBACKA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31994-2026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46232</v>
      </c>
      <c r="E262" s="1" t="n">
        <v>46291</v>
      </c>
      <c r="F262" t="inlineStr">
        <is>
          <t>HALLANDS LÄN</t>
        </is>
      </c>
      <c r="G262" t="inlineStr">
        <is>
          <t>KUNGSBACKA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46291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46291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46291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46291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46291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46291</v>
      </c>
      <c r="F268" t="inlineStr">
        <is>
          <t>HALLANDS LÄN</t>
        </is>
      </c>
      <c r="G268" t="inlineStr">
        <is>
          <t>KUNGSBACKA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46291</v>
      </c>
      <c r="F269" t="inlineStr">
        <is>
          <t>HALLANDS LÄN</t>
        </is>
      </c>
      <c r="G269" t="inlineStr">
        <is>
          <t>KUNGSBACKA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46291</v>
      </c>
      <c r="F270" t="inlineStr">
        <is>
          <t>HALLANDS LÄN</t>
        </is>
      </c>
      <c r="G270" t="inlineStr">
        <is>
          <t>KUNGSBACKA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57056-2022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44895</v>
      </c>
      <c r="E271" s="1" t="n">
        <v>46291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46150</v>
      </c>
      <c r="E272" s="1" t="n">
        <v>46291</v>
      </c>
      <c r="F272" t="inlineStr">
        <is>
          <t>HALLANDS LÄN</t>
        </is>
      </c>
      <c r="G272" t="inlineStr">
        <is>
          <t>KUNGSBACKA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46291</v>
      </c>
      <c r="F273" t="inlineStr">
        <is>
          <t>HALLANDS LÄN</t>
        </is>
      </c>
      <c r="G273" t="inlineStr">
        <is>
          <t>KUNGSBACKA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46291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45323</v>
      </c>
      <c r="E275" s="1" t="n">
        <v>46291</v>
      </c>
      <c r="F275" t="inlineStr">
        <is>
          <t>HALLANDS LÄN</t>
        </is>
      </c>
      <c r="G275" t="inlineStr">
        <is>
          <t>KUNGSBACKA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46291</v>
      </c>
      <c r="F276" t="inlineStr">
        <is>
          <t>HALLANDS LÄN</t>
        </is>
      </c>
      <c r="G276" t="inlineStr">
        <is>
          <t>KUNGSBACKA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28529-2022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44748</v>
      </c>
      <c r="E277" s="1" t="n">
        <v>46291</v>
      </c>
      <c r="F277" t="inlineStr">
        <is>
          <t>HALLANDS LÄN</t>
        </is>
      </c>
      <c r="G277" t="inlineStr">
        <is>
          <t>KUNGSBACKA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44869</v>
      </c>
      <c r="E278" s="1" t="n">
        <v>46291</v>
      </c>
      <c r="F278" t="inlineStr">
        <is>
          <t>HALLANDS LÄN</t>
        </is>
      </c>
      <c r="G278" t="inlineStr">
        <is>
          <t>KUNGSBACKA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45131</v>
      </c>
      <c r="E279" s="1" t="n">
        <v>46291</v>
      </c>
      <c r="F279" t="inlineStr">
        <is>
          <t>HALLANDS LÄN</t>
        </is>
      </c>
      <c r="G279" t="inlineStr">
        <is>
          <t>KUNGSBACKA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45131</v>
      </c>
      <c r="E280" s="1" t="n">
        <v>46291</v>
      </c>
      <c r="F280" t="inlineStr">
        <is>
          <t>HALLANDS LÄN</t>
        </is>
      </c>
      <c r="G280" t="inlineStr">
        <is>
          <t>KUNGSBACKA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46291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45219</v>
      </c>
      <c r="E282" s="1" t="n">
        <v>46291</v>
      </c>
      <c r="F282" t="inlineStr">
        <is>
          <t>HALLANDS LÄN</t>
        </is>
      </c>
      <c r="G282" t="inlineStr">
        <is>
          <t>KUNGSBACKA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71891-2021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44543</v>
      </c>
      <c r="E283" s="1" t="n">
        <v>46291</v>
      </c>
      <c r="F283" t="inlineStr">
        <is>
          <t>HALLANDS LÄN</t>
        </is>
      </c>
      <c r="G283" t="inlineStr">
        <is>
          <t>KUNGSBACKA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45371</v>
      </c>
      <c r="E284" s="1" t="n">
        <v>46291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45371</v>
      </c>
      <c r="E285" s="1" t="n">
        <v>46291</v>
      </c>
      <c r="F285" t="inlineStr">
        <is>
          <t>HALLANDS LÄN</t>
        </is>
      </c>
      <c r="G285" t="inlineStr">
        <is>
          <t>KUNGSBACKA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46291</v>
      </c>
      <c r="F286" t="inlineStr">
        <is>
          <t>HALLANDS LÄN</t>
        </is>
      </c>
      <c r="G286" t="inlineStr">
        <is>
          <t>KUNGSBACKA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46291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46291</v>
      </c>
      <c r="F288" t="inlineStr">
        <is>
          <t>HALLANDS LÄN</t>
        </is>
      </c>
      <c r="G288" t="inlineStr">
        <is>
          <t>KUNGSBACKA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46291</v>
      </c>
      <c r="F289" t="inlineStr">
        <is>
          <t>HALLANDS LÄN</t>
        </is>
      </c>
      <c r="G289" t="inlineStr">
        <is>
          <t>KUNGSBACKA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45242</v>
      </c>
      <c r="E290" s="1" t="n">
        <v>46291</v>
      </c>
      <c r="F290" t="inlineStr">
        <is>
          <t>HALLANDS LÄN</t>
        </is>
      </c>
      <c r="G290" t="inlineStr">
        <is>
          <t>KUNGSBACKA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45242</v>
      </c>
      <c r="E291" s="1" t="n">
        <v>46291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45656</v>
      </c>
      <c r="E292" s="1" t="n">
        <v>46291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46291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46291</v>
      </c>
      <c r="F294" t="inlineStr">
        <is>
          <t>HALLANDS LÄN</t>
        </is>
      </c>
      <c r="G294" t="inlineStr">
        <is>
          <t>KUNGSBACKA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46291</v>
      </c>
      <c r="F295" t="inlineStr">
        <is>
          <t>HALLANDS LÄN</t>
        </is>
      </c>
      <c r="G295" t="inlineStr">
        <is>
          <t>KUNGSBACKA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45208</v>
      </c>
      <c r="E296" s="1" t="n">
        <v>46291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44777</v>
      </c>
      <c r="E297" s="1" t="n">
        <v>46291</v>
      </c>
      <c r="F297" t="inlineStr">
        <is>
          <t>HALLANDS LÄN</t>
        </is>
      </c>
      <c r="G297" t="inlineStr">
        <is>
          <t>KUNGSBACKA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46291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16045-2025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45749</v>
      </c>
      <c r="E299" s="1" t="n">
        <v>46291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46291</v>
      </c>
      <c r="F300" t="inlineStr">
        <is>
          <t>HALLANDS LÄN</t>
        </is>
      </c>
      <c r="G300" t="inlineStr">
        <is>
          <t>KUNGSBACKA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45653</v>
      </c>
      <c r="E301" s="1" t="n">
        <v>46291</v>
      </c>
      <c r="F301" t="inlineStr">
        <is>
          <t>HALLANDS LÄN</t>
        </is>
      </c>
      <c r="G301" t="inlineStr">
        <is>
          <t>KUNGSBACKA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45733</v>
      </c>
      <c r="E302" s="1" t="n">
        <v>46291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46291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45617</v>
      </c>
      <c r="E304" s="1" t="n">
        <v>46291</v>
      </c>
      <c r="F304" t="inlineStr">
        <is>
          <t>HALLANDS LÄN</t>
        </is>
      </c>
      <c r="G304" t="inlineStr">
        <is>
          <t>KUNGSBACKA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59348-2023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46291</v>
      </c>
      <c r="F305" t="inlineStr">
        <is>
          <t>HALLANDS LÄN</t>
        </is>
      </c>
      <c r="G305" t="inlineStr">
        <is>
          <t>KUNGSBACKA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46291</v>
      </c>
      <c r="F306" t="inlineStr">
        <is>
          <t>HALLANDS LÄN</t>
        </is>
      </c>
      <c r="G306" t="inlineStr">
        <is>
          <t>KUNGSBACKA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45323</v>
      </c>
      <c r="E307" s="1" t="n">
        <v>46291</v>
      </c>
      <c r="F307" t="inlineStr">
        <is>
          <t>HALLANDS LÄN</t>
        </is>
      </c>
      <c r="G307" t="inlineStr">
        <is>
          <t>KUNGSBACKA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46291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46291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46291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46291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46291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46291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2026-09-26T02:02:23Z</dcterms:created>
  <dcterms:modified xmlns:dcterms="http://purl.org/dc/terms/" xmlns:xsi="http://www.w3.org/2001/XMLSchema-instance" xsi:type="dcterms:W3CDTF">2026-09-26T02:02:24Z</dcterms:modified>
</cp:coreProperties>
</file>