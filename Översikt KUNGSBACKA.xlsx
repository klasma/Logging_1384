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46281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46281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46281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46281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46281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46281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46281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46281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46281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46281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3281-2025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45679</v>
      </c>
      <c r="E17" s="1" t="n">
        <v>46281</v>
      </c>
      <c r="F17" t="inlineStr">
        <is>
          <t>HALLANDS LÄN</t>
        </is>
      </c>
      <c r="G17" t="inlineStr">
        <is>
          <t>KUNGSBACKA</t>
        </is>
      </c>
      <c r="I17" t="n">
        <v>10.8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3281-2025 artfynd.xlsx", "A 3281-2025")</f>
        <v/>
      </c>
      <c r="X17">
        <f>HYPERLINK("https://klasma.github.io/Logging_1384/kartor/A 3281-2025 karta.png", "A 3281-2025")</f>
        <v/>
      </c>
      <c r="Y17">
        <f>HYPERLINK("https://klasma.github.io/Logging_1384/kartor_geotiff/A 3281-2025 georefererad karta.tif", "A 3281-2025")</f>
        <v/>
      </c>
      <c r="AA17">
        <f>HYPERLINK("https://klasma.github.io/Logging_1384/klagomål/A 3281-2025 FSC-klagomål.docx", "A 3281-2025")</f>
        <v/>
      </c>
      <c r="AB17">
        <f>HYPERLINK("https://klasma.github.io/Logging_1384/klagomålsmail/A 3281-2025 FSC-klagomål mail.docx", "A 3281-2025")</f>
        <v/>
      </c>
      <c r="AC17">
        <f>HYPERLINK("https://klasma.github.io/Logging_1384/tillsyn/A 3281-2025 tillsynsbegäran.docx", "A 3281-2025")</f>
        <v/>
      </c>
      <c r="AD17">
        <f>HYPERLINK("https://klasma.github.io/Logging_1384/tillsynsmail/A 3281-2025 tillsynsbegäran mail.docx", "A 3281-2025")</f>
        <v/>
      </c>
    </row>
    <row r="18" ht="15" customHeight="1">
      <c r="A18" t="inlineStr">
        <is>
          <t>A 18150-2026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46281</v>
      </c>
      <c r="F18" t="inlineStr">
        <is>
          <t>HALLANDS LÄN</t>
        </is>
      </c>
      <c r="G18" t="inlineStr">
        <is>
          <t>KUNGSBACKA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Järnek</t>
        </is>
      </c>
      <c r="W18">
        <f>HYPERLINK("https://klasma.github.io/Logging_1384/artfynd/A 18150-2026 artfynd.xlsx", "A 18150-2026")</f>
        <v/>
      </c>
      <c r="X18">
        <f>HYPERLINK("https://klasma.github.io/Logging_1384/kartor/A 18150-2026 karta.png", "A 18150-2026")</f>
        <v/>
      </c>
      <c r="Y18">
        <f>HYPERLINK("https://klasma.github.io/Logging_1384/kartor_geotiff/A 18150-2026 georefererad karta.tif", "A 18150-2026")</f>
        <v/>
      </c>
      <c r="AA18">
        <f>HYPERLINK("https://klasma.github.io/Logging_1384/klagomål/A 18150-2026 FSC-klagomål.docx", "A 18150-2026")</f>
        <v/>
      </c>
      <c r="AB18">
        <f>HYPERLINK("https://klasma.github.io/Logging_1384/klagomålsmail/A 18150-2026 FSC-klagomål mail.docx", "A 18150-2026")</f>
        <v/>
      </c>
      <c r="AC18">
        <f>HYPERLINK("https://klasma.github.io/Logging_1384/tillsyn/A 18150-2026 tillsynsbegäran.docx", "A 18150-2026")</f>
        <v/>
      </c>
      <c r="AD18">
        <f>HYPERLINK("https://klasma.github.io/Logging_1384/tillsynsmail/A 18150-2026 tillsynsbegäran mail.docx", "A 18150-2026")</f>
        <v/>
      </c>
    </row>
    <row r="19" ht="15" customHeight="1">
      <c r="A19" t="inlineStr">
        <is>
          <t>A 9527-2024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45359</v>
      </c>
      <c r="E19" s="1" t="n">
        <v>46281</v>
      </c>
      <c r="F19" t="inlineStr">
        <is>
          <t>HALLANDS LÄN</t>
        </is>
      </c>
      <c r="G19" t="inlineStr">
        <is>
          <t>KUNGSBACKA</t>
        </is>
      </c>
      <c r="H19" t="inlineStr">
        <is>
          <t>Kyrkan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Backsvala</t>
        </is>
      </c>
      <c r="W19">
        <f>HYPERLINK("https://klasma.github.io/Logging_1384/artfynd/A 9527-2024 artfynd.xlsx", "A 9527-2024")</f>
        <v/>
      </c>
      <c r="X19">
        <f>HYPERLINK("https://klasma.github.io/Logging_1384/kartor/A 9527-2024 karta.png", "A 9527-2024")</f>
        <v/>
      </c>
      <c r="Y19">
        <f>HYPERLINK("https://klasma.github.io/Logging_1384/kartor_geotiff/A 9527-2024 georefererad karta.tif", "A 9527-2024")</f>
        <v/>
      </c>
      <c r="AA19">
        <f>HYPERLINK("https://klasma.github.io/Logging_1384/klagomål/A 9527-2024 FSC-klagomål.docx", "A 9527-2024")</f>
        <v/>
      </c>
      <c r="AB19">
        <f>HYPERLINK("https://klasma.github.io/Logging_1384/klagomålsmail/A 9527-2024 FSC-klagomål mail.docx", "A 9527-2024")</f>
        <v/>
      </c>
      <c r="AC19">
        <f>HYPERLINK("https://klasma.github.io/Logging_1384/tillsyn/A 9527-2024 tillsynsbegäran.docx", "A 9527-2024")</f>
        <v/>
      </c>
      <c r="AD19">
        <f>HYPERLINK("https://klasma.github.io/Logging_1384/tillsynsmail/A 9527-2024 tillsynsbegäran mail.docx", "A 9527-2024")</f>
        <v/>
      </c>
    </row>
    <row r="20" ht="15" customHeight="1">
      <c r="A20" t="inlineStr">
        <is>
          <t>A 21721-2023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45065</v>
      </c>
      <c r="E20" s="1" t="n">
        <v>46281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HYPERLINK("https://klasma.github.io/Logging_1384/artfynd/A 21721-2023 artfynd.xlsx", "A 21721-2023")</f>
        <v/>
      </c>
      <c r="X20">
        <f>HYPERLINK("https://klasma.github.io/Logging_1384/kartor/A 21721-2023 karta.png", "A 21721-2023")</f>
        <v/>
      </c>
      <c r="Y20">
        <f>HYPERLINK("https://klasma.github.io/Logging_1384/kartor_geotiff/A 21721-2023 georefererad karta.tif", "A 21721-2023")</f>
        <v/>
      </c>
      <c r="Z20">
        <f>HYPERLINK("https://klasma.github.io/Logging_1384/knärot/A 21721-2023 karta knärot.png", "A 21721-2023")</f>
        <v/>
      </c>
      <c r="AA20">
        <f>HYPERLINK("https://klasma.github.io/Logging_1384/klagomål/A 21721-2023 FSC-klagomål.docx", "A 21721-2023")</f>
        <v/>
      </c>
      <c r="AB20">
        <f>HYPERLINK("https://klasma.github.io/Logging_1384/klagomålsmail/A 21721-2023 FSC-klagomål mail.docx", "A 21721-2023")</f>
        <v/>
      </c>
      <c r="AC20">
        <f>HYPERLINK("https://klasma.github.io/Logging_1384/tillsyn/A 21721-2023 tillsynsbegäran.docx", "A 21721-2023")</f>
        <v/>
      </c>
      <c r="AD20">
        <f>HYPERLINK("https://klasma.github.io/Logging_1384/tillsynsmail/A 21721-2023 tillsynsbegäran mail.docx", "A 21721-2023")</f>
        <v/>
      </c>
    </row>
    <row r="21" ht="15" customHeight="1">
      <c r="A21" t="inlineStr">
        <is>
          <t>A 11010-2025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45723</v>
      </c>
      <c r="E21" s="1" t="n">
        <v>46281</v>
      </c>
      <c r="F21" t="inlineStr">
        <is>
          <t>HALLANDS LÄN</t>
        </is>
      </c>
      <c r="G21" t="inlineStr">
        <is>
          <t>KUNGSBACKA</t>
        </is>
      </c>
      <c r="I21" t="n">
        <v>12.4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11010-2025 artfynd.xlsx", "A 11010-2025")</f>
        <v/>
      </c>
      <c r="X21">
        <f>HYPERLINK("https://klasma.github.io/Logging_1384/kartor/A 11010-2025 karta.png", "A 11010-2025")</f>
        <v/>
      </c>
      <c r="Y21">
        <f>HYPERLINK("https://klasma.github.io/Logging_1384/kartor_geotiff/A 11010-2025 georefererad karta.tif", "A 11010-2025")</f>
        <v/>
      </c>
      <c r="AA21">
        <f>HYPERLINK("https://klasma.github.io/Logging_1384/klagomål/A 11010-2025 FSC-klagomål.docx", "A 11010-2025")</f>
        <v/>
      </c>
      <c r="AB21">
        <f>HYPERLINK("https://klasma.github.io/Logging_1384/klagomålsmail/A 11010-2025 FSC-klagomål mail.docx", "A 11010-2025")</f>
        <v/>
      </c>
      <c r="AC21">
        <f>HYPERLINK("https://klasma.github.io/Logging_1384/tillsyn/A 11010-2025 tillsynsbegäran.docx", "A 11010-2025")</f>
        <v/>
      </c>
      <c r="AD21">
        <f>HYPERLINK("https://klasma.github.io/Logging_1384/tillsynsmail/A 11010-2025 tillsynsbegäran mail.docx", "A 11010-2025")</f>
        <v/>
      </c>
    </row>
    <row r="22" ht="15" customHeight="1">
      <c r="A22" t="inlineStr">
        <is>
          <t>A 44638-2022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46281</v>
      </c>
      <c r="F22" t="inlineStr">
        <is>
          <t>HALLANDS LÄN</t>
        </is>
      </c>
      <c r="G22" t="inlineStr">
        <is>
          <t>KUNGSBACKA</t>
        </is>
      </c>
      <c r="H22" t="inlineStr">
        <is>
          <t>Kommuner</t>
        </is>
      </c>
      <c r="I22" t="n">
        <v>11.8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HYPERLINK("https://klasma.github.io/Logging_1384/artfynd/A 44638-2022 artfynd.xlsx", "A 44638-2022")</f>
        <v/>
      </c>
      <c r="X22">
        <f>HYPERLINK("https://klasma.github.io/Logging_1384/kartor/A 44638-2022 karta.png", "A 44638-2022")</f>
        <v/>
      </c>
      <c r="Y22">
        <f>HYPERLINK("https://klasma.github.io/Logging_1384/kartor_geotiff/A 44638-2022 georefererad karta.tif", "A 44638-2022")</f>
        <v/>
      </c>
      <c r="AA22">
        <f>HYPERLINK("https://klasma.github.io/Logging_1384/klagomål/A 44638-2022 FSC-klagomål.docx", "A 44638-2022")</f>
        <v/>
      </c>
      <c r="AB22">
        <f>HYPERLINK("https://klasma.github.io/Logging_1384/klagomålsmail/A 44638-2022 FSC-klagomål mail.docx", "A 44638-2022")</f>
        <v/>
      </c>
      <c r="AC22">
        <f>HYPERLINK("https://klasma.github.io/Logging_1384/tillsyn/A 44638-2022 tillsynsbegäran.docx", "A 44638-2022")</f>
        <v/>
      </c>
      <c r="AD22">
        <f>HYPERLINK("https://klasma.github.io/Logging_1384/tillsynsmail/A 44638-2022 tillsynsbegäran mail.docx", "A 44638-2022")</f>
        <v/>
      </c>
      <c r="AE22">
        <f>HYPERLINK("https://klasma.github.io/Logging_1384/fåglar/A 44638-2022 prioriterade fågelarter.docx", "A 44638-2022")</f>
        <v/>
      </c>
    </row>
    <row r="23" ht="15" customHeight="1">
      <c r="A23" t="inlineStr">
        <is>
          <t>A 1765-2023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46281</v>
      </c>
      <c r="F23" t="inlineStr">
        <is>
          <t>HALLANDS LÄN</t>
        </is>
      </c>
      <c r="G23" t="inlineStr">
        <is>
          <t>KUNGSBACKA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HYPERLINK("https://klasma.github.io/Logging_1384/artfynd/A 1765-2023 artfynd.xlsx", "A 1765-2023")</f>
        <v/>
      </c>
      <c r="X23">
        <f>HYPERLINK("https://klasma.github.io/Logging_1384/kartor/A 1765-2023 karta.png", "A 1765-2023")</f>
        <v/>
      </c>
      <c r="Y23">
        <f>HYPERLINK("https://klasma.github.io/Logging_1384/kartor_geotiff/A 1765-2023 georefererad karta.tif", "A 1765-2023")</f>
        <v/>
      </c>
      <c r="AA23">
        <f>HYPERLINK("https://klasma.github.io/Logging_1384/klagomål/A 1765-2023 FSC-klagomål.docx", "A 1765-2023")</f>
        <v/>
      </c>
      <c r="AB23">
        <f>HYPERLINK("https://klasma.github.io/Logging_1384/klagomålsmail/A 1765-2023 FSC-klagomål mail.docx", "A 1765-2023")</f>
        <v/>
      </c>
      <c r="AC23">
        <f>HYPERLINK("https://klasma.github.io/Logging_1384/tillsyn/A 1765-2023 tillsynsbegäran.docx", "A 1765-2023")</f>
        <v/>
      </c>
      <c r="AD23">
        <f>HYPERLINK("https://klasma.github.io/Logging_1384/tillsynsmail/A 1765-2023 tillsynsbegäran mail.docx", "A 1765-2023")</f>
        <v/>
      </c>
    </row>
    <row r="24" ht="15" customHeight="1">
      <c r="A24" t="inlineStr">
        <is>
          <t>A 9548-2024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45359</v>
      </c>
      <c r="E24" s="1" t="n">
        <v>46281</v>
      </c>
      <c r="F24" t="inlineStr">
        <is>
          <t>HALLANDS LÄN</t>
        </is>
      </c>
      <c r="G24" t="inlineStr">
        <is>
          <t>KUNGSBACKA</t>
        </is>
      </c>
      <c r="I24" t="n">
        <v>0.3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aspticka</t>
        </is>
      </c>
      <c r="W24">
        <f>HYPERLINK("https://klasma.github.io/Logging_1384/artfynd/A 9548-2024 artfynd.xlsx", "A 9548-2024")</f>
        <v/>
      </c>
      <c r="X24">
        <f>HYPERLINK("https://klasma.github.io/Logging_1384/kartor/A 9548-2024 karta.png", "A 9548-2024")</f>
        <v/>
      </c>
      <c r="Y24">
        <f>HYPERLINK("https://klasma.github.io/Logging_1384/kartor_geotiff/A 9548-2024 georefererad karta.tif", "A 9548-2024")</f>
        <v/>
      </c>
      <c r="AA24">
        <f>HYPERLINK("https://klasma.github.io/Logging_1384/klagomål/A 9548-2024 FSC-klagomål.docx", "A 9548-2024")</f>
        <v/>
      </c>
      <c r="AB24">
        <f>HYPERLINK("https://klasma.github.io/Logging_1384/klagomålsmail/A 9548-2024 FSC-klagomål mail.docx", "A 9548-2024")</f>
        <v/>
      </c>
      <c r="AC24">
        <f>HYPERLINK("https://klasma.github.io/Logging_1384/tillsyn/A 9548-2024 tillsynsbegäran.docx", "A 9548-2024")</f>
        <v/>
      </c>
      <c r="AD24">
        <f>HYPERLINK("https://klasma.github.io/Logging_1384/tillsynsmail/A 9548-2024 tillsynsbegäran mail.docx", "A 9548-2024")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46281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35165-2026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46281</v>
      </c>
      <c r="F26" t="inlineStr">
        <is>
          <t>HALLANDS LÄN</t>
        </is>
      </c>
      <c r="G26" t="inlineStr">
        <is>
          <t>KUNGSBACKA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HYPERLINK("https://klasma.github.io/Logging_1384/artfynd/A 35165-2026 artfynd.xlsx", "A 35165-2026")</f>
        <v/>
      </c>
      <c r="X26">
        <f>HYPERLINK("https://klasma.github.io/Logging_1384/kartor/A 35165-2026 karta.png", "A 35165-2026")</f>
        <v/>
      </c>
      <c r="Y26">
        <f>HYPERLINK("https://klasma.github.io/Logging_1384/kartor_geotiff/A 35165-2026 georefererad karta.tif", "A 35165-2026")</f>
        <v/>
      </c>
      <c r="AA26">
        <f>HYPERLINK("https://klasma.github.io/Logging_1384/klagomål/A 35165-2026 FSC-klagomål.docx", "A 35165-2026")</f>
        <v/>
      </c>
      <c r="AB26">
        <f>HYPERLINK("https://klasma.github.io/Logging_1384/klagomålsmail/A 35165-2026 FSC-klagomål mail.docx", "A 35165-2026")</f>
        <v/>
      </c>
      <c r="AC26">
        <f>HYPERLINK("https://klasma.github.io/Logging_1384/tillsyn/A 35165-2026 tillsynsbegäran.docx", "A 35165-2026")</f>
        <v/>
      </c>
      <c r="AD26">
        <f>HYPERLINK("https://klasma.github.io/Logging_1384/tillsynsmail/A 35165-2026 tillsynsbegäran mail.docx", "A 35165-2026")</f>
        <v/>
      </c>
    </row>
    <row r="27" ht="15" customHeight="1">
      <c r="A27" t="inlineStr">
        <is>
          <t>A 11154-2022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46281</v>
      </c>
      <c r="F27" t="inlineStr">
        <is>
          <t>HALLANDS LÄN</t>
        </is>
      </c>
      <c r="G27" t="inlineStr">
        <is>
          <t>KUNGSBACKA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HYPERLINK("https://klasma.github.io/Logging_1384/artfynd/A 11154-2022 artfynd.xlsx", "A 11154-2022")</f>
        <v/>
      </c>
      <c r="X27">
        <f>HYPERLINK("https://klasma.github.io/Logging_1384/kartor/A 11154-2022 karta.png", "A 11154-2022")</f>
        <v/>
      </c>
      <c r="Y27">
        <f>HYPERLINK("https://klasma.github.io/Logging_1384/kartor_geotiff/A 11154-2022 georefererad karta.tif", "A 11154-2022")</f>
        <v/>
      </c>
      <c r="AA27">
        <f>HYPERLINK("https://klasma.github.io/Logging_1384/klagomål/A 11154-2022 FSC-klagomål.docx", "A 11154-2022")</f>
        <v/>
      </c>
      <c r="AB27">
        <f>HYPERLINK("https://klasma.github.io/Logging_1384/klagomålsmail/A 11154-2022 FSC-klagomål mail.docx", "A 11154-2022")</f>
        <v/>
      </c>
      <c r="AC27">
        <f>HYPERLINK("https://klasma.github.io/Logging_1384/tillsyn/A 11154-2022 tillsynsbegäran.docx", "A 11154-2022")</f>
        <v/>
      </c>
      <c r="AD27">
        <f>HYPERLINK("https://klasma.github.io/Logging_1384/tillsynsmail/A 11154-2022 tillsynsbegäran mail.docx", "A 11154-2022")</f>
        <v/>
      </c>
      <c r="AE27">
        <f>HYPERLINK("https://klasma.github.io/Logging_1384/fåglar/A 11154-2022 prioriterade fågelarter.docx", "A 11154-2022")</f>
        <v/>
      </c>
    </row>
    <row r="28" ht="15" customHeight="1">
      <c r="A28" t="inlineStr">
        <is>
          <t>A 13932-2025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45737</v>
      </c>
      <c r="E28" s="1" t="n">
        <v>46281</v>
      </c>
      <c r="F28" t="inlineStr">
        <is>
          <t>HALLANDS LÄN</t>
        </is>
      </c>
      <c r="G28" t="inlineStr">
        <is>
          <t>KUNGSBACKA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HYPERLINK("https://klasma.github.io/Logging_1384/artfynd/A 13932-2025 artfynd.xlsx", "A 13932-2025")</f>
        <v/>
      </c>
      <c r="X28">
        <f>HYPERLINK("https://klasma.github.io/Logging_1384/kartor/A 13932-2025 karta.png", "A 13932-2025")</f>
        <v/>
      </c>
      <c r="Y28">
        <f>HYPERLINK("https://klasma.github.io/Logging_1384/kartor_geotiff/A 13932-2025 georefererad karta.tif", "A 13932-2025")</f>
        <v/>
      </c>
      <c r="AA28">
        <f>HYPERLINK("https://klasma.github.io/Logging_1384/klagomål/A 13932-2025 FSC-klagomål.docx", "A 13932-2025")</f>
        <v/>
      </c>
      <c r="AB28">
        <f>HYPERLINK("https://klasma.github.io/Logging_1384/klagomålsmail/A 13932-2025 FSC-klagomål mail.docx", "A 13932-2025")</f>
        <v/>
      </c>
      <c r="AC28">
        <f>HYPERLINK("https://klasma.github.io/Logging_1384/tillsyn/A 13932-2025 tillsynsbegäran.docx", "A 13932-2025")</f>
        <v/>
      </c>
      <c r="AD28">
        <f>HYPERLINK("https://klasma.github.io/Logging_1384/tillsynsmail/A 13932-2025 tillsynsbegäran mail.docx", "A 13932-2025")</f>
        <v/>
      </c>
    </row>
    <row r="29" ht="15" customHeight="1">
      <c r="A29" t="inlineStr">
        <is>
          <t>A 16076-2025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45749</v>
      </c>
      <c r="E29" s="1" t="n">
        <v>46281</v>
      </c>
      <c r="F29" t="inlineStr">
        <is>
          <t>HALLANDS LÄN</t>
        </is>
      </c>
      <c r="G29" t="inlineStr">
        <is>
          <t>KUNGSBACKA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HYPERLINK("https://klasma.github.io/Logging_1384/artfynd/A 16076-2025 artfynd.xlsx", "A 16076-2025")</f>
        <v/>
      </c>
      <c r="X29">
        <f>HYPERLINK("https://klasma.github.io/Logging_1384/kartor/A 16076-2025 karta.png", "A 16076-2025")</f>
        <v/>
      </c>
      <c r="Y29">
        <f>HYPERLINK("https://klasma.github.io/Logging_1384/kartor_geotiff/A 16076-2025 georefererad karta.tif", "A 16076-2025")</f>
        <v/>
      </c>
      <c r="AA29">
        <f>HYPERLINK("https://klasma.github.io/Logging_1384/klagomål/A 16076-2025 FSC-klagomål.docx", "A 16076-2025")</f>
        <v/>
      </c>
      <c r="AB29">
        <f>HYPERLINK("https://klasma.github.io/Logging_1384/klagomålsmail/A 16076-2025 FSC-klagomål mail.docx", "A 16076-2025")</f>
        <v/>
      </c>
      <c r="AC29">
        <f>HYPERLINK("https://klasma.github.io/Logging_1384/tillsyn/A 16076-2025 tillsynsbegäran.docx", "A 16076-2025")</f>
        <v/>
      </c>
      <c r="AD29">
        <f>HYPERLINK("https://klasma.github.io/Logging_1384/tillsynsmail/A 16076-2025 tillsynsbegäran mail.docx", "A 16076-2025")</f>
        <v/>
      </c>
      <c r="AE29">
        <f>HYPERLINK("https://klasma.github.io/Logging_1384/fåglar/A 16076-2025 prioriterade fågelarter.docx", "A 16076-2025")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46281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46281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46281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46281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46281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46281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46281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46281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46281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46281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10137-2025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45719</v>
      </c>
      <c r="E44" s="1" t="n">
        <v>46281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44773</v>
      </c>
      <c r="E45" s="1" t="n">
        <v>46281</v>
      </c>
      <c r="F45" t="inlineStr">
        <is>
          <t>HALLANDS LÄN</t>
        </is>
      </c>
      <c r="G45" t="inlineStr">
        <is>
          <t>KUNGSBACKA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40582-2022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44819</v>
      </c>
      <c r="E46" s="1" t="n">
        <v>46281</v>
      </c>
      <c r="F46" t="inlineStr">
        <is>
          <t>HALLANDS LÄN</t>
        </is>
      </c>
      <c r="G46" t="inlineStr">
        <is>
          <t>KUNGSBACKA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46281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46281</v>
      </c>
      <c r="F48" t="inlineStr">
        <is>
          <t>HALLANDS LÄN</t>
        </is>
      </c>
      <c r="G48" t="inlineStr">
        <is>
          <t>KUNGSBACKA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46281</v>
      </c>
      <c r="F49" t="inlineStr">
        <is>
          <t>HALLANDS LÄN</t>
        </is>
      </c>
      <c r="G49" t="inlineStr">
        <is>
          <t>KUNGSBACKA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46281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46281</v>
      </c>
      <c r="F51" t="inlineStr">
        <is>
          <t>HALLANDS LÄN</t>
        </is>
      </c>
      <c r="G51" t="inlineStr">
        <is>
          <t>KUNGSBACKA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44726</v>
      </c>
      <c r="E52" s="1" t="n">
        <v>46281</v>
      </c>
      <c r="F52" t="inlineStr">
        <is>
          <t>HALLANDS LÄN</t>
        </is>
      </c>
      <c r="G52" t="inlineStr">
        <is>
          <t>KUNGSBACKA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46281</v>
      </c>
      <c r="F53" t="inlineStr">
        <is>
          <t>HALLANDS LÄN</t>
        </is>
      </c>
      <c r="G53" t="inlineStr">
        <is>
          <t>KUNGSBACKA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44925</v>
      </c>
      <c r="E54" s="1" t="n">
        <v>46281</v>
      </c>
      <c r="F54" t="inlineStr">
        <is>
          <t>HALLANDS LÄN</t>
        </is>
      </c>
      <c r="G54" t="inlineStr">
        <is>
          <t>KUNGSBACKA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45443</v>
      </c>
      <c r="E55" s="1" t="n">
        <v>46281</v>
      </c>
      <c r="F55" t="inlineStr">
        <is>
          <t>HALLANDS LÄN</t>
        </is>
      </c>
      <c r="G55" t="inlineStr">
        <is>
          <t>KUNGSBACKA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46281</v>
      </c>
      <c r="F56" t="inlineStr">
        <is>
          <t>HALLANDS LÄN</t>
        </is>
      </c>
      <c r="G56" t="inlineStr">
        <is>
          <t>KUNGSBACKA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45719</v>
      </c>
      <c r="E57" s="1" t="n">
        <v>46281</v>
      </c>
      <c r="F57" t="inlineStr">
        <is>
          <t>HALLANDS LÄN</t>
        </is>
      </c>
      <c r="G57" t="inlineStr">
        <is>
          <t>KUNGSBACKA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10140-2025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45719</v>
      </c>
      <c r="E58" s="1" t="n">
        <v>46281</v>
      </c>
      <c r="F58" t="inlineStr">
        <is>
          <t>HALLANDS LÄN</t>
        </is>
      </c>
      <c r="G58" t="inlineStr">
        <is>
          <t>KUNGSBACKA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46281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10949-2024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45370</v>
      </c>
      <c r="E60" s="1" t="n">
        <v>46281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45749</v>
      </c>
      <c r="E61" s="1" t="n">
        <v>46281</v>
      </c>
      <c r="F61" t="inlineStr">
        <is>
          <t>HALLANDS LÄN</t>
        </is>
      </c>
      <c r="G61" t="inlineStr">
        <is>
          <t>KUNGSBACKA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45743</v>
      </c>
      <c r="E62" s="1" t="n">
        <v>46281</v>
      </c>
      <c r="F62" t="inlineStr">
        <is>
          <t>HALLANDS LÄN</t>
        </is>
      </c>
      <c r="G62" t="inlineStr">
        <is>
          <t>KUNGSBACKA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46281</v>
      </c>
      <c r="F63" t="inlineStr">
        <is>
          <t>HALLANDS LÄN</t>
        </is>
      </c>
      <c r="G63" t="inlineStr">
        <is>
          <t>KUNGSBACKA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46281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44925</v>
      </c>
      <c r="E65" s="1" t="n">
        <v>46281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44925</v>
      </c>
      <c r="E66" s="1" t="n">
        <v>46281</v>
      </c>
      <c r="F66" t="inlineStr">
        <is>
          <t>HALLANDS LÄN</t>
        </is>
      </c>
      <c r="G66" t="inlineStr">
        <is>
          <t>KUNGSBACKA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46078</v>
      </c>
      <c r="E67" s="1" t="n">
        <v>46281</v>
      </c>
      <c r="F67" t="inlineStr">
        <is>
          <t>HALLANDS LÄN</t>
        </is>
      </c>
      <c r="G67" t="inlineStr">
        <is>
          <t>KUNGSBACKA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10753-2026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46281</v>
      </c>
      <c r="F68" t="inlineStr">
        <is>
          <t>HALLANDS LÄN</t>
        </is>
      </c>
      <c r="G68" t="inlineStr">
        <is>
          <t>KUNGSBACKA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46281</v>
      </c>
      <c r="F69" t="inlineStr">
        <is>
          <t>HALLANDS LÄN</t>
        </is>
      </c>
      <c r="G69" t="inlineStr">
        <is>
          <t>KUNGSBACKA</t>
        </is>
      </c>
      <c r="H69" t="inlineStr">
        <is>
          <t>Kommuner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10799-2026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46078</v>
      </c>
      <c r="E70" s="1" t="n">
        <v>46281</v>
      </c>
      <c r="F70" t="inlineStr">
        <is>
          <t>HALLANDS LÄN</t>
        </is>
      </c>
      <c r="G70" t="inlineStr">
        <is>
          <t>KUNGSBACKA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45504</v>
      </c>
      <c r="E71" s="1" t="n">
        <v>46281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39066-2025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45888</v>
      </c>
      <c r="E72" s="1" t="n">
        <v>46281</v>
      </c>
      <c r="F72" t="inlineStr">
        <is>
          <t>HALLANDS LÄN</t>
        </is>
      </c>
      <c r="G72" t="inlineStr">
        <is>
          <t>KUNGSBACKA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46281</v>
      </c>
      <c r="F73" t="inlineStr">
        <is>
          <t>HALLANDS LÄN</t>
        </is>
      </c>
      <c r="G73" t="inlineStr">
        <is>
          <t>KUNGSBACKA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45743</v>
      </c>
      <c r="E74" s="1" t="n">
        <v>46281</v>
      </c>
      <c r="F74" t="inlineStr">
        <is>
          <t>HALLANDS LÄN</t>
        </is>
      </c>
      <c r="G74" t="inlineStr">
        <is>
          <t>KUNGSBACKA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46086</v>
      </c>
      <c r="E75" s="1" t="n">
        <v>46281</v>
      </c>
      <c r="F75" t="inlineStr">
        <is>
          <t>HALLANDS LÄN</t>
        </is>
      </c>
      <c r="G75" t="inlineStr">
        <is>
          <t>KUNGSBACKA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46281</v>
      </c>
      <c r="F76" t="inlineStr">
        <is>
          <t>HALLANDS LÄN</t>
        </is>
      </c>
      <c r="G76" t="inlineStr">
        <is>
          <t>KUNGSBACKA</t>
        </is>
      </c>
      <c r="I76" t="n">
        <v>19.2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46281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46281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46281</v>
      </c>
      <c r="F79" t="inlineStr">
        <is>
          <t>HALLANDS LÄN</t>
        </is>
      </c>
      <c r="G79" t="inlineStr">
        <is>
          <t>KUNGSBACKA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46281</v>
      </c>
      <c r="F80" t="inlineStr">
        <is>
          <t>HALLANDS LÄN</t>
        </is>
      </c>
      <c r="G80" t="inlineStr">
        <is>
          <t>KUNGSBACKA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46281</v>
      </c>
      <c r="F81" t="inlineStr">
        <is>
          <t>HALLANDS LÄN</t>
        </is>
      </c>
      <c r="G81" t="inlineStr">
        <is>
          <t>KUNGSBACKA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44971</v>
      </c>
      <c r="E82" s="1" t="n">
        <v>46281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37823-2023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45160</v>
      </c>
      <c r="E83" s="1" t="n">
        <v>46281</v>
      </c>
      <c r="F83" t="inlineStr">
        <is>
          <t>HALLANDS LÄN</t>
        </is>
      </c>
      <c r="G83" t="inlineStr">
        <is>
          <t>KUNGSBACKA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58118-2021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46281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46281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45280</v>
      </c>
      <c r="E86" s="1" t="n">
        <v>46281</v>
      </c>
      <c r="F86" t="inlineStr">
        <is>
          <t>HALLANDS LÄN</t>
        </is>
      </c>
      <c r="G86" t="inlineStr">
        <is>
          <t>KUNGSBACKA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11958-2023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46281</v>
      </c>
      <c r="F87" t="inlineStr">
        <is>
          <t>HALLANDS LÄN</t>
        </is>
      </c>
      <c r="G87" t="inlineStr">
        <is>
          <t>KUNGSBACKA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44897</v>
      </c>
      <c r="E88" s="1" t="n">
        <v>46281</v>
      </c>
      <c r="F88" t="inlineStr">
        <is>
          <t>HALLANDS LÄN</t>
        </is>
      </c>
      <c r="G88" t="inlineStr">
        <is>
          <t>KUNGSBACKA</t>
        </is>
      </c>
      <c r="I88" t="n">
        <v>18.8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46281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44925</v>
      </c>
      <c r="E90" s="1" t="n">
        <v>46281</v>
      </c>
      <c r="F90" t="inlineStr">
        <is>
          <t>HALLANDS LÄN</t>
        </is>
      </c>
      <c r="G90" t="inlineStr">
        <is>
          <t>KUNGSBACKA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46281</v>
      </c>
      <c r="F91" t="inlineStr">
        <is>
          <t>HALLANDS LÄN</t>
        </is>
      </c>
      <c r="G91" t="inlineStr">
        <is>
          <t>KUNGSBACKA</t>
        </is>
      </c>
      <c r="H91" t="inlineStr">
        <is>
          <t>Kyrkan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46281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46281</v>
      </c>
      <c r="F93" t="inlineStr">
        <is>
          <t>HALLANDS LÄN</t>
        </is>
      </c>
      <c r="G93" t="inlineStr">
        <is>
          <t>KUNGSBACKA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18077-2026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46125</v>
      </c>
      <c r="E94" s="1" t="n">
        <v>46281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46281</v>
      </c>
      <c r="F95" t="inlineStr">
        <is>
          <t>HALLANDS LÄN</t>
        </is>
      </c>
      <c r="G95" t="inlineStr">
        <is>
          <t>KUNGSBACKA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46281</v>
      </c>
      <c r="F96" t="inlineStr">
        <is>
          <t>HALLANDS LÄN</t>
        </is>
      </c>
      <c r="G96" t="inlineStr">
        <is>
          <t>KUNGSBACKA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46281</v>
      </c>
      <c r="F97" t="inlineStr">
        <is>
          <t>HALLANDS LÄN</t>
        </is>
      </c>
      <c r="G97" t="inlineStr">
        <is>
          <t>KUNGSBACKA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46281</v>
      </c>
      <c r="F98" t="inlineStr">
        <is>
          <t>HALLANDS LÄN</t>
        </is>
      </c>
      <c r="G98" t="inlineStr">
        <is>
          <t>KUNGSBACKA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44684</v>
      </c>
      <c r="E99" s="1" t="n">
        <v>46281</v>
      </c>
      <c r="F99" t="inlineStr">
        <is>
          <t>HALLANDS LÄN</t>
        </is>
      </c>
      <c r="G99" t="inlineStr">
        <is>
          <t>KUNGSBACKA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46281</v>
      </c>
      <c r="F100" t="inlineStr">
        <is>
          <t>HALLANDS LÄN</t>
        </is>
      </c>
      <c r="G100" t="inlineStr">
        <is>
          <t>KUNGSBACKA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44693</v>
      </c>
      <c r="E101" s="1" t="n">
        <v>46281</v>
      </c>
      <c r="F101" t="inlineStr">
        <is>
          <t>HALLANDS LÄN</t>
        </is>
      </c>
      <c r="G101" t="inlineStr">
        <is>
          <t>KUNGSBACKA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46281</v>
      </c>
      <c r="F102" t="inlineStr">
        <is>
          <t>HALLANDS LÄN</t>
        </is>
      </c>
      <c r="G102" t="inlineStr">
        <is>
          <t>KUNGSBACKA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45729</v>
      </c>
      <c r="E103" s="1" t="n">
        <v>46281</v>
      </c>
      <c r="F103" t="inlineStr">
        <is>
          <t>HALLANDS LÄN</t>
        </is>
      </c>
      <c r="G103" t="inlineStr">
        <is>
          <t>KUNGSBACKA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45525</v>
      </c>
      <c r="E104" s="1" t="n">
        <v>46281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45525</v>
      </c>
      <c r="E105" s="1" t="n">
        <v>46281</v>
      </c>
      <c r="F105" t="inlineStr">
        <is>
          <t>HALLANDS LÄN</t>
        </is>
      </c>
      <c r="G105" t="inlineStr">
        <is>
          <t>KUNGSBACKA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46281</v>
      </c>
      <c r="F106" t="inlineStr">
        <is>
          <t>HALLANDS LÄN</t>
        </is>
      </c>
      <c r="G106" t="inlineStr">
        <is>
          <t>KUNGSBACKA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46281</v>
      </c>
      <c r="F107" t="inlineStr">
        <is>
          <t>HALLANDS LÄN</t>
        </is>
      </c>
      <c r="G107" t="inlineStr">
        <is>
          <t>KUNGSBACKA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46281</v>
      </c>
      <c r="F108" t="inlineStr">
        <is>
          <t>HALLANDS LÄN</t>
        </is>
      </c>
      <c r="G108" t="inlineStr">
        <is>
          <t>KUNGSBACKA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46281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51523-2025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45950</v>
      </c>
      <c r="E110" s="1" t="n">
        <v>46281</v>
      </c>
      <c r="F110" t="inlineStr">
        <is>
          <t>HALLANDS LÄN</t>
        </is>
      </c>
      <c r="G110" t="inlineStr">
        <is>
          <t>KUNGSBACKA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46281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46281</v>
      </c>
      <c r="F112" t="inlineStr">
        <is>
          <t>HALLANDS LÄN</t>
        </is>
      </c>
      <c r="G112" t="inlineStr">
        <is>
          <t>KUNGSBACKA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46281</v>
      </c>
      <c r="F113" t="inlineStr">
        <is>
          <t>HALLANDS LÄN</t>
        </is>
      </c>
      <c r="G113" t="inlineStr">
        <is>
          <t>KUNGSBACKA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46281</v>
      </c>
      <c r="F114" t="inlineStr">
        <is>
          <t>HALLANDS LÄN</t>
        </is>
      </c>
      <c r="G114" t="inlineStr">
        <is>
          <t>KUNGSBACKA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30996-2023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45113</v>
      </c>
      <c r="E115" s="1" t="n">
        <v>46281</v>
      </c>
      <c r="F115" t="inlineStr">
        <is>
          <t>HALLANDS LÄN</t>
        </is>
      </c>
      <c r="G115" t="inlineStr">
        <is>
          <t>KUNGSBACKA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45801</v>
      </c>
      <c r="E116" s="1" t="n">
        <v>46281</v>
      </c>
      <c r="F116" t="inlineStr">
        <is>
          <t>HALLANDS LÄN</t>
        </is>
      </c>
      <c r="G116" t="inlineStr">
        <is>
          <t>KUNGSBACKA</t>
        </is>
      </c>
      <c r="I116" t="n">
        <v>8.9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46281</v>
      </c>
      <c r="F117" t="inlineStr">
        <is>
          <t>HALLANDS LÄN</t>
        </is>
      </c>
      <c r="G117" t="inlineStr">
        <is>
          <t>KUNGSBACKA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46281</v>
      </c>
      <c r="F118" t="inlineStr">
        <is>
          <t>HALLANDS LÄN</t>
        </is>
      </c>
      <c r="G118" t="inlineStr">
        <is>
          <t>KUNGSBACKA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46281</v>
      </c>
      <c r="F119" t="inlineStr">
        <is>
          <t>HALLANDS LÄN</t>
        </is>
      </c>
      <c r="G119" t="inlineStr">
        <is>
          <t>KUNGSBACKA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46281</v>
      </c>
      <c r="F120" t="inlineStr">
        <is>
          <t>HALLANDS LÄN</t>
        </is>
      </c>
      <c r="G120" t="inlineStr">
        <is>
          <t>KUNGSBACKA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45008</v>
      </c>
      <c r="E121" s="1" t="n">
        <v>46281</v>
      </c>
      <c r="F121" t="inlineStr">
        <is>
          <t>HALLANDS LÄN</t>
        </is>
      </c>
      <c r="G121" t="inlineStr">
        <is>
          <t>KUNGSBACKA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48486-2025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46281</v>
      </c>
      <c r="F122" t="inlineStr">
        <is>
          <t>HALLANDS LÄN</t>
        </is>
      </c>
      <c r="G122" t="inlineStr">
        <is>
          <t>KUNGSBACKA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46281</v>
      </c>
      <c r="F123" t="inlineStr">
        <is>
          <t>HALLANDS LÄN</t>
        </is>
      </c>
      <c r="G123" t="inlineStr">
        <is>
          <t>KUNGSBACKA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46281</v>
      </c>
      <c r="F124" t="inlineStr">
        <is>
          <t>HALLANDS LÄN</t>
        </is>
      </c>
      <c r="G124" t="inlineStr">
        <is>
          <t>KUNGSBACKA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45504</v>
      </c>
      <c r="E125" s="1" t="n">
        <v>46281</v>
      </c>
      <c r="F125" t="inlineStr">
        <is>
          <t>HALLANDS LÄN</t>
        </is>
      </c>
      <c r="G125" t="inlineStr">
        <is>
          <t>KUNGSBACKA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55272-2025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45968</v>
      </c>
      <c r="E126" s="1" t="n">
        <v>46281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46281</v>
      </c>
      <c r="F127" t="inlineStr">
        <is>
          <t>HALLANDS LÄN</t>
        </is>
      </c>
      <c r="G127" t="inlineStr">
        <is>
          <t>KUNGSBACKA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46281</v>
      </c>
      <c r="F128" t="inlineStr">
        <is>
          <t>HALLANDS LÄN</t>
        </is>
      </c>
      <c r="G128" t="inlineStr">
        <is>
          <t>KUNGSBACKA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46281</v>
      </c>
      <c r="F129" t="inlineStr">
        <is>
          <t>HALLANDS LÄN</t>
        </is>
      </c>
      <c r="G129" t="inlineStr">
        <is>
          <t>KUNGSBACKA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46281</v>
      </c>
      <c r="F130" t="inlineStr">
        <is>
          <t>HALLANDS LÄN</t>
        </is>
      </c>
      <c r="G130" t="inlineStr">
        <is>
          <t>KUNGSBACKA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45461</v>
      </c>
      <c r="E131" s="1" t="n">
        <v>46281</v>
      </c>
      <c r="F131" t="inlineStr">
        <is>
          <t>HALLANDS LÄN</t>
        </is>
      </c>
      <c r="G131" t="inlineStr">
        <is>
          <t>KUNGSBACKA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46281</v>
      </c>
      <c r="F132" t="inlineStr">
        <is>
          <t>HALLANDS LÄN</t>
        </is>
      </c>
      <c r="G132" t="inlineStr">
        <is>
          <t>KUNGSBACKA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48406-2023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46281</v>
      </c>
      <c r="F133" t="inlineStr">
        <is>
          <t>HALLANDS LÄN</t>
        </is>
      </c>
      <c r="G133" t="inlineStr">
        <is>
          <t>KUNGSBACKA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46281</v>
      </c>
      <c r="F134" t="inlineStr">
        <is>
          <t>HALLANDS LÄN</t>
        </is>
      </c>
      <c r="G134" t="inlineStr">
        <is>
          <t>KUNGSBACKA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44775</v>
      </c>
      <c r="E135" s="1" t="n">
        <v>46281</v>
      </c>
      <c r="F135" t="inlineStr">
        <is>
          <t>HALLANDS LÄN</t>
        </is>
      </c>
      <c r="G135" t="inlineStr">
        <is>
          <t>KUNGSBACKA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46281</v>
      </c>
      <c r="F136" t="inlineStr">
        <is>
          <t>HALLANDS LÄN</t>
        </is>
      </c>
      <c r="G136" t="inlineStr">
        <is>
          <t>KUNGSBACKA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46281</v>
      </c>
      <c r="F137" t="inlineStr">
        <is>
          <t>HALLANDS LÄN</t>
        </is>
      </c>
      <c r="G137" t="inlineStr">
        <is>
          <t>KUNGSBACKA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46281</v>
      </c>
      <c r="F138" t="inlineStr">
        <is>
          <t>HALLANDS LÄN</t>
        </is>
      </c>
      <c r="G138" t="inlineStr">
        <is>
          <t>KUNGSBACKA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46281</v>
      </c>
      <c r="F139" t="inlineStr">
        <is>
          <t>HALLANDS LÄN</t>
        </is>
      </c>
      <c r="G139" t="inlineStr">
        <is>
          <t>KUNGSBACKA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46281</v>
      </c>
      <c r="F140" t="inlineStr">
        <is>
          <t>HALLANDS LÄN</t>
        </is>
      </c>
      <c r="G140" t="inlineStr">
        <is>
          <t>KUNGSBACKA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46281</v>
      </c>
      <c r="F141" t="inlineStr">
        <is>
          <t>HALLANDS LÄN</t>
        </is>
      </c>
      <c r="G141" t="inlineStr">
        <is>
          <t>KUNGSBACKA</t>
        </is>
      </c>
      <c r="H141" t="inlineStr">
        <is>
          <t>Kyrkan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46281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46281</v>
      </c>
      <c r="F143" t="inlineStr">
        <is>
          <t>HALLANDS LÄN</t>
        </is>
      </c>
      <c r="G143" t="inlineStr">
        <is>
          <t>KUNGSBACKA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46281</v>
      </c>
      <c r="F144" t="inlineStr">
        <is>
          <t>HALLANDS LÄN</t>
        </is>
      </c>
      <c r="G144" t="inlineStr">
        <is>
          <t>KUNGSBACKA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45607</v>
      </c>
      <c r="E145" s="1" t="n">
        <v>46281</v>
      </c>
      <c r="F145" t="inlineStr">
        <is>
          <t>HALLANDS LÄN</t>
        </is>
      </c>
      <c r="G145" t="inlineStr">
        <is>
          <t>KUNGSBACKA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46281</v>
      </c>
      <c r="F146" t="inlineStr">
        <is>
          <t>HALLANDS LÄN</t>
        </is>
      </c>
      <c r="G146" t="inlineStr">
        <is>
          <t>KUNGSBACKA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45698</v>
      </c>
      <c r="E147" s="1" t="n">
        <v>46281</v>
      </c>
      <c r="F147" t="inlineStr">
        <is>
          <t>HALLANDS LÄN</t>
        </is>
      </c>
      <c r="G147" t="inlineStr">
        <is>
          <t>KUNGSBACKA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46281</v>
      </c>
      <c r="F148" t="inlineStr">
        <is>
          <t>HALLANDS LÄN</t>
        </is>
      </c>
      <c r="G148" t="inlineStr">
        <is>
          <t>KUNGSBACKA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46281</v>
      </c>
      <c r="F149" t="inlineStr">
        <is>
          <t>HALLANDS LÄN</t>
        </is>
      </c>
      <c r="G149" t="inlineStr">
        <is>
          <t>KUNGSBACKA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46281</v>
      </c>
      <c r="F150" t="inlineStr">
        <is>
          <t>HALLANDS LÄN</t>
        </is>
      </c>
      <c r="G150" t="inlineStr">
        <is>
          <t>KUNGSBACKA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21756-2026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46281</v>
      </c>
      <c r="F151" t="inlineStr">
        <is>
          <t>HALLANDS LÄN</t>
        </is>
      </c>
      <c r="G151" t="inlineStr">
        <is>
          <t>KUNGSBACKA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45729</v>
      </c>
      <c r="E152" s="1" t="n">
        <v>46281</v>
      </c>
      <c r="F152" t="inlineStr">
        <is>
          <t>HALLANDS LÄN</t>
        </is>
      </c>
      <c r="G152" t="inlineStr">
        <is>
          <t>KUNGSBACKA</t>
        </is>
      </c>
      <c r="H152" t="inlineStr">
        <is>
          <t>Övriga Aktiebolag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46281</v>
      </c>
      <c r="F153" t="inlineStr">
        <is>
          <t>HALLANDS LÄN</t>
        </is>
      </c>
      <c r="G153" t="inlineStr">
        <is>
          <t>KUNGSBACKA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45078</v>
      </c>
      <c r="E154" s="1" t="n">
        <v>46281</v>
      </c>
      <c r="F154" t="inlineStr">
        <is>
          <t>HALLANDS LÄN</t>
        </is>
      </c>
      <c r="G154" t="inlineStr">
        <is>
          <t>KUNGSBACKA</t>
        </is>
      </c>
      <c r="H154" t="inlineStr">
        <is>
          <t>Övriga Aktiebolag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46281</v>
      </c>
      <c r="F155" t="inlineStr">
        <is>
          <t>HALLANDS LÄN</t>
        </is>
      </c>
      <c r="G155" t="inlineStr">
        <is>
          <t>KUNGSBACKA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9965-2025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45719</v>
      </c>
      <c r="E156" s="1" t="n">
        <v>46281</v>
      </c>
      <c r="F156" t="inlineStr">
        <is>
          <t>HALLANDS LÄN</t>
        </is>
      </c>
      <c r="G156" t="inlineStr">
        <is>
          <t>KUNGSBACKA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9976-2025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45719</v>
      </c>
      <c r="E157" s="1" t="n">
        <v>46281</v>
      </c>
      <c r="F157" t="inlineStr">
        <is>
          <t>HALLANDS LÄN</t>
        </is>
      </c>
      <c r="G157" t="inlineStr">
        <is>
          <t>KUNGSBACKA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46281</v>
      </c>
      <c r="F158" t="inlineStr">
        <is>
          <t>HALLANDS LÄN</t>
        </is>
      </c>
      <c r="G158" t="inlineStr">
        <is>
          <t>KUNGSBACKA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45323</v>
      </c>
      <c r="E159" s="1" t="n">
        <v>46281</v>
      </c>
      <c r="F159" t="inlineStr">
        <is>
          <t>HALLANDS LÄN</t>
        </is>
      </c>
      <c r="G159" t="inlineStr">
        <is>
          <t>KUNGSBACKA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46281</v>
      </c>
      <c r="F160" t="inlineStr">
        <is>
          <t>HALLANDS LÄN</t>
        </is>
      </c>
      <c r="G160" t="inlineStr">
        <is>
          <t>KUNGSBACKA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44674-2025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45917</v>
      </c>
      <c r="E161" s="1" t="n">
        <v>46281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46281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44748</v>
      </c>
      <c r="E163" s="1" t="n">
        <v>46281</v>
      </c>
      <c r="F163" t="inlineStr">
        <is>
          <t>HALLANDS LÄN</t>
        </is>
      </c>
      <c r="G163" t="inlineStr">
        <is>
          <t>KUNGSBACKA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46281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46281</v>
      </c>
      <c r="F165" t="inlineStr">
        <is>
          <t>HALLANDS LÄN</t>
        </is>
      </c>
      <c r="G165" t="inlineStr">
        <is>
          <t>KUNGSBACKA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46281</v>
      </c>
      <c r="F166" t="inlineStr">
        <is>
          <t>HALLANDS LÄN</t>
        </is>
      </c>
      <c r="G166" t="inlineStr">
        <is>
          <t>KUNGSBACKA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46281</v>
      </c>
      <c r="F167" t="inlineStr">
        <is>
          <t>HALLANDS LÄN</t>
        </is>
      </c>
      <c r="G167" t="inlineStr">
        <is>
          <t>KUNGSBACKA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46281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46281</v>
      </c>
      <c r="F169" t="inlineStr">
        <is>
          <t>HALLANDS LÄN</t>
        </is>
      </c>
      <c r="G169" t="inlineStr">
        <is>
          <t>KUNGSBACKA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16075-2025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45749</v>
      </c>
      <c r="E170" s="1" t="n">
        <v>46281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45881</v>
      </c>
      <c r="E171" s="1" t="n">
        <v>46281</v>
      </c>
      <c r="F171" t="inlineStr">
        <is>
          <t>HALLANDS LÄN</t>
        </is>
      </c>
      <c r="G171" t="inlineStr">
        <is>
          <t>KUNGSBACKA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46281</v>
      </c>
      <c r="F172" t="inlineStr">
        <is>
          <t>HALLANDS LÄN</t>
        </is>
      </c>
      <c r="G172" t="inlineStr">
        <is>
          <t>KUNGSBACKA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46281</v>
      </c>
      <c r="F173" t="inlineStr">
        <is>
          <t>HALLANDS LÄN</t>
        </is>
      </c>
      <c r="G173" t="inlineStr">
        <is>
          <t>KUNGSBACKA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45638</v>
      </c>
      <c r="E174" s="1" t="n">
        <v>46281</v>
      </c>
      <c r="F174" t="inlineStr">
        <is>
          <t>HALLANDS LÄN</t>
        </is>
      </c>
      <c r="G174" t="inlineStr">
        <is>
          <t>KUNGSBACKA</t>
        </is>
      </c>
      <c r="I174" t="n">
        <v>19.2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46281</v>
      </c>
      <c r="F175" t="inlineStr">
        <is>
          <t>HALLANDS LÄN</t>
        </is>
      </c>
      <c r="G175" t="inlineStr">
        <is>
          <t>KUNGSBACKA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44468</v>
      </c>
      <c r="E176" s="1" t="n">
        <v>46281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45131</v>
      </c>
      <c r="E177" s="1" t="n">
        <v>46281</v>
      </c>
      <c r="F177" t="inlineStr">
        <is>
          <t>HALLANDS LÄN</t>
        </is>
      </c>
      <c r="G177" t="inlineStr">
        <is>
          <t>KUNGSBACKA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45131</v>
      </c>
      <c r="E178" s="1" t="n">
        <v>46281</v>
      </c>
      <c r="F178" t="inlineStr">
        <is>
          <t>HALLANDS LÄN</t>
        </is>
      </c>
      <c r="G178" t="inlineStr">
        <is>
          <t>KUNGSBACKA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46281</v>
      </c>
      <c r="F179" t="inlineStr">
        <is>
          <t>HALLANDS LÄN</t>
        </is>
      </c>
      <c r="G179" t="inlineStr">
        <is>
          <t>KUNGSBACKA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46176</v>
      </c>
      <c r="E180" s="1" t="n">
        <v>46281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46176</v>
      </c>
      <c r="E181" s="1" t="n">
        <v>46281</v>
      </c>
      <c r="F181" t="inlineStr">
        <is>
          <t>HALLANDS LÄN</t>
        </is>
      </c>
      <c r="G181" t="inlineStr">
        <is>
          <t>KUNGSBACKA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46281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46052</v>
      </c>
      <c r="E183" s="1" t="n">
        <v>46281</v>
      </c>
      <c r="F183" t="inlineStr">
        <is>
          <t>HALLANDS LÄN</t>
        </is>
      </c>
      <c r="G183" t="inlineStr">
        <is>
          <t>KUNGSBACKA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25351-2026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46176</v>
      </c>
      <c r="E184" s="1" t="n">
        <v>46281</v>
      </c>
      <c r="F184" t="inlineStr">
        <is>
          <t>HALLANDS LÄN</t>
        </is>
      </c>
      <c r="G184" t="inlineStr">
        <is>
          <t>KUNGSBACKA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25337-2026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46176</v>
      </c>
      <c r="E185" s="1" t="n">
        <v>46281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46281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46281</v>
      </c>
      <c r="F187" t="inlineStr">
        <is>
          <t>HALLANDS LÄN</t>
        </is>
      </c>
      <c r="G187" t="inlineStr">
        <is>
          <t>KUNGSBACKA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46054</v>
      </c>
      <c r="E188" s="1" t="n">
        <v>46281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46054</v>
      </c>
      <c r="E189" s="1" t="n">
        <v>46281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46054</v>
      </c>
      <c r="E190" s="1" t="n">
        <v>46281</v>
      </c>
      <c r="F190" t="inlineStr">
        <is>
          <t>HALLANDS LÄN</t>
        </is>
      </c>
      <c r="G190" t="inlineStr">
        <is>
          <t>KUNGSBACKA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46281</v>
      </c>
      <c r="F191" t="inlineStr">
        <is>
          <t>HALLANDS LÄN</t>
        </is>
      </c>
      <c r="G191" t="inlineStr">
        <is>
          <t>KUNGSBACKA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44981</v>
      </c>
      <c r="E192" s="1" t="n">
        <v>46281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46281</v>
      </c>
      <c r="F193" t="inlineStr">
        <is>
          <t>HALLANDS LÄN</t>
        </is>
      </c>
      <c r="G193" t="inlineStr">
        <is>
          <t>KUNGSBACKA</t>
        </is>
      </c>
      <c r="I193" t="n">
        <v>15.2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62142-2024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45656</v>
      </c>
      <c r="E194" s="1" t="n">
        <v>46281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45656</v>
      </c>
      <c r="E195" s="1" t="n">
        <v>46281</v>
      </c>
      <c r="F195" t="inlineStr">
        <is>
          <t>HALLANDS LÄN</t>
        </is>
      </c>
      <c r="G195" t="inlineStr">
        <is>
          <t>KUNGSBACKA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46281</v>
      </c>
      <c r="F196" t="inlineStr">
        <is>
          <t>HALLANDS LÄN</t>
        </is>
      </c>
      <c r="G196" t="inlineStr">
        <is>
          <t>KUNGSBACKA</t>
        </is>
      </c>
      <c r="H196" t="inlineStr">
        <is>
          <t>Kommuner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46281</v>
      </c>
      <c r="F197" t="inlineStr">
        <is>
          <t>HALLANDS LÄN</t>
        </is>
      </c>
      <c r="G197" t="inlineStr">
        <is>
          <t>KUNGSBACKA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17293-2025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45756</v>
      </c>
      <c r="E198" s="1" t="n">
        <v>46281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45755</v>
      </c>
      <c r="E199" s="1" t="n">
        <v>46281</v>
      </c>
      <c r="F199" t="inlineStr">
        <is>
          <t>HALLANDS LÄN</t>
        </is>
      </c>
      <c r="G199" t="inlineStr">
        <is>
          <t>KUNGSBACKA</t>
        </is>
      </c>
      <c r="H199" t="inlineStr">
        <is>
          <t>Övriga Aktiebolag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46281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45653</v>
      </c>
      <c r="E201" s="1" t="n">
        <v>46281</v>
      </c>
      <c r="F201" t="inlineStr">
        <is>
          <t>HALLANDS LÄN</t>
        </is>
      </c>
      <c r="G201" t="inlineStr">
        <is>
          <t>KUNGSBACKA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46281</v>
      </c>
      <c r="F202" t="inlineStr">
        <is>
          <t>HALLANDS LÄN</t>
        </is>
      </c>
      <c r="G202" t="inlineStr">
        <is>
          <t>KUNGSBACKA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46281</v>
      </c>
      <c r="F203" t="inlineStr">
        <is>
          <t>HALLANDS LÄN</t>
        </is>
      </c>
      <c r="G203" t="inlineStr">
        <is>
          <t>KUNGSBACKA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46281</v>
      </c>
      <c r="F204" t="inlineStr">
        <is>
          <t>HALLANDS LÄN</t>
        </is>
      </c>
      <c r="G204" t="inlineStr">
        <is>
          <t>KUNGSBACKA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46281</v>
      </c>
      <c r="F205" t="inlineStr">
        <is>
          <t>HALLANDS LÄN</t>
        </is>
      </c>
      <c r="G205" t="inlineStr">
        <is>
          <t>KUNGSBACKA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26733-2026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46184</v>
      </c>
      <c r="E206" s="1" t="n">
        <v>46281</v>
      </c>
      <c r="F206" t="inlineStr">
        <is>
          <t>HALLANDS LÄN</t>
        </is>
      </c>
      <c r="G206" t="inlineStr">
        <is>
          <t>KUNGSBACKA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26699-2026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46281</v>
      </c>
      <c r="F207" t="inlineStr">
        <is>
          <t>HALLANDS LÄN</t>
        </is>
      </c>
      <c r="G207" t="inlineStr">
        <is>
          <t>KUNGSBACKA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46281</v>
      </c>
      <c r="F208" t="inlineStr">
        <is>
          <t>HALLANDS LÄN</t>
        </is>
      </c>
      <c r="G208" t="inlineStr">
        <is>
          <t>KUNGSBACKA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46281</v>
      </c>
      <c r="F209" t="inlineStr">
        <is>
          <t>HALLANDS LÄN</t>
        </is>
      </c>
      <c r="G209" t="inlineStr">
        <is>
          <t>KUNGSBACKA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42412-2022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44831</v>
      </c>
      <c r="E210" s="1" t="n">
        <v>46281</v>
      </c>
      <c r="F210" t="inlineStr">
        <is>
          <t>HALLANDS LÄN</t>
        </is>
      </c>
      <c r="G210" t="inlineStr">
        <is>
          <t>KUNGSBACKA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44997</v>
      </c>
      <c r="E211" s="1" t="n">
        <v>46281</v>
      </c>
      <c r="F211" t="inlineStr">
        <is>
          <t>HALLANDS LÄN</t>
        </is>
      </c>
      <c r="G211" t="inlineStr">
        <is>
          <t>KUNGSBACKA</t>
        </is>
      </c>
      <c r="I211" t="n">
        <v>10.5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71676-2021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46281</v>
      </c>
      <c r="F212" t="inlineStr">
        <is>
          <t>HALLANDS LÄN</t>
        </is>
      </c>
      <c r="G212" t="inlineStr">
        <is>
          <t>KUNGSBACKA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14898-2023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45014</v>
      </c>
      <c r="E213" s="1" t="n">
        <v>46281</v>
      </c>
      <c r="F213" t="inlineStr">
        <is>
          <t>HALLANDS LÄN</t>
        </is>
      </c>
      <c r="G213" t="inlineStr">
        <is>
          <t>KUNGSBACKA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46281</v>
      </c>
      <c r="F214" t="inlineStr">
        <is>
          <t>HALLANDS LÄN</t>
        </is>
      </c>
      <c r="G214" t="inlineStr">
        <is>
          <t>KUNGSBACKA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45596</v>
      </c>
      <c r="E215" s="1" t="n">
        <v>46281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46281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46197</v>
      </c>
      <c r="E217" s="1" t="n">
        <v>46281</v>
      </c>
      <c r="F217" t="inlineStr">
        <is>
          <t>HALLANDS LÄN</t>
        </is>
      </c>
      <c r="G217" t="inlineStr">
        <is>
          <t>KUNGSBACKA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71891-2021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46281</v>
      </c>
      <c r="F218" t="inlineStr">
        <is>
          <t>HALLANDS LÄN</t>
        </is>
      </c>
      <c r="G218" t="inlineStr">
        <is>
          <t>KUNGSBACKA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46281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46281</v>
      </c>
      <c r="F220" t="inlineStr">
        <is>
          <t>HALLANDS LÄN</t>
        </is>
      </c>
      <c r="G220" t="inlineStr">
        <is>
          <t>KUNGSBACKA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46281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45400</v>
      </c>
      <c r="E222" s="1" t="n">
        <v>46281</v>
      </c>
      <c r="F222" t="inlineStr">
        <is>
          <t>HALLANDS LÄN</t>
        </is>
      </c>
      <c r="G222" t="inlineStr">
        <is>
          <t>KUNGSBACKA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63598-2023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46281</v>
      </c>
      <c r="F223" t="inlineStr">
        <is>
          <t>HALLANDS LÄN</t>
        </is>
      </c>
      <c r="G223" t="inlineStr">
        <is>
          <t>KUNGSBACKA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46281</v>
      </c>
      <c r="F224" t="inlineStr">
        <is>
          <t>HALLANDS LÄN</t>
        </is>
      </c>
      <c r="G224" t="inlineStr">
        <is>
          <t>KUNGSBACKA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46281</v>
      </c>
      <c r="F225" t="inlineStr">
        <is>
          <t>HALLANDS LÄN</t>
        </is>
      </c>
      <c r="G225" t="inlineStr">
        <is>
          <t>KUNGSBACKA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44999</v>
      </c>
      <c r="E226" s="1" t="n">
        <v>46281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46281</v>
      </c>
      <c r="F227" t="inlineStr">
        <is>
          <t>HALLANDS LÄN</t>
        </is>
      </c>
      <c r="G227" t="inlineStr">
        <is>
          <t>KUNGSBACKA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46281</v>
      </c>
      <c r="F228" t="inlineStr">
        <is>
          <t>HALLANDS LÄN</t>
        </is>
      </c>
      <c r="G228" t="inlineStr">
        <is>
          <t>KUNGSBACKA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46281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45242</v>
      </c>
      <c r="E230" s="1" t="n">
        <v>46281</v>
      </c>
      <c r="F230" t="inlineStr">
        <is>
          <t>HALLANDS LÄN</t>
        </is>
      </c>
      <c r="G230" t="inlineStr">
        <is>
          <t>KUNGSBACKA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45242</v>
      </c>
      <c r="E231" s="1" t="n">
        <v>46281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45742</v>
      </c>
      <c r="E232" s="1" t="n">
        <v>46281</v>
      </c>
      <c r="F232" t="inlineStr">
        <is>
          <t>HALLANDS LÄN</t>
        </is>
      </c>
      <c r="G232" t="inlineStr">
        <is>
          <t>KUNGSBACKA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45656</v>
      </c>
      <c r="E233" s="1" t="n">
        <v>46281</v>
      </c>
      <c r="F233" t="inlineStr">
        <is>
          <t>HALLANDS LÄN</t>
        </is>
      </c>
      <c r="G233" t="inlineStr">
        <is>
          <t>KUNGSBACKA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46281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46281</v>
      </c>
      <c r="F235" t="inlineStr">
        <is>
          <t>HALLANDS LÄN</t>
        </is>
      </c>
      <c r="G235" t="inlineStr">
        <is>
          <t>KUNGSBACKA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45659</v>
      </c>
      <c r="E236" s="1" t="n">
        <v>46281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45656</v>
      </c>
      <c r="E237" s="1" t="n">
        <v>46281</v>
      </c>
      <c r="F237" t="inlineStr">
        <is>
          <t>HALLANDS LÄN</t>
        </is>
      </c>
      <c r="G237" t="inlineStr">
        <is>
          <t>KUNGSBACKA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49505-2024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46281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45366</v>
      </c>
      <c r="E239" s="1" t="n">
        <v>46281</v>
      </c>
      <c r="F239" t="inlineStr">
        <is>
          <t>HALLANDS LÄN</t>
        </is>
      </c>
      <c r="G239" t="inlineStr">
        <is>
          <t>KUNGSBACKA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46281</v>
      </c>
      <c r="F240" t="inlineStr">
        <is>
          <t>HALLANDS LÄN</t>
        </is>
      </c>
      <c r="G240" t="inlineStr">
        <is>
          <t>KUNGSBACKA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46258</v>
      </c>
      <c r="E241" s="1" t="n">
        <v>46281</v>
      </c>
      <c r="F241" t="inlineStr">
        <is>
          <t>HALLANDS LÄN</t>
        </is>
      </c>
      <c r="G241" t="inlineStr">
        <is>
          <t>KUNGSBACKA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44601</v>
      </c>
      <c r="E242" s="1" t="n">
        <v>46281</v>
      </c>
      <c r="F242" t="inlineStr">
        <is>
          <t>HALLANDS LÄN</t>
        </is>
      </c>
      <c r="G242" t="inlineStr">
        <is>
          <t>KUNGSBACKA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46281</v>
      </c>
      <c r="F243" t="inlineStr">
        <is>
          <t>HALLANDS LÄN</t>
        </is>
      </c>
      <c r="G243" t="inlineStr">
        <is>
          <t>KUNGSBACKA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33646-2022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44789</v>
      </c>
      <c r="E244" s="1" t="n">
        <v>46281</v>
      </c>
      <c r="F244" t="inlineStr">
        <is>
          <t>HALLANDS LÄN</t>
        </is>
      </c>
      <c r="G244" t="inlineStr">
        <is>
          <t>KUNGSBACKA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46281</v>
      </c>
      <c r="F245" t="inlineStr">
        <is>
          <t>HALLANDS LÄN</t>
        </is>
      </c>
      <c r="G245" t="inlineStr">
        <is>
          <t>KUNGSBACKA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46281</v>
      </c>
      <c r="F246" t="inlineStr">
        <is>
          <t>HALLANDS LÄN</t>
        </is>
      </c>
      <c r="G246" t="inlineStr">
        <is>
          <t>KUNGSBACKA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46281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46281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46260</v>
      </c>
      <c r="E249" s="1" t="n">
        <v>46281</v>
      </c>
      <c r="F249" t="inlineStr">
        <is>
          <t>HALLANDS LÄN</t>
        </is>
      </c>
      <c r="G249" t="inlineStr">
        <is>
          <t>KUNGSBACKA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46281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46281</v>
      </c>
      <c r="F251" t="inlineStr">
        <is>
          <t>HALLANDS LÄN</t>
        </is>
      </c>
      <c r="G251" t="inlineStr">
        <is>
          <t>KUNGSBACKA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48754-2023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45208</v>
      </c>
      <c r="E252" s="1" t="n">
        <v>46281</v>
      </c>
      <c r="F252" t="inlineStr">
        <is>
          <t>HALLANDS LÄN</t>
        </is>
      </c>
      <c r="G252" t="inlineStr">
        <is>
          <t>KUNGSBACKA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8677-2022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46281</v>
      </c>
      <c r="F253" t="inlineStr">
        <is>
          <t>HALLANDS LÄN</t>
        </is>
      </c>
      <c r="G253" t="inlineStr">
        <is>
          <t>KUNGSBACKA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46281</v>
      </c>
      <c r="F254" t="inlineStr">
        <is>
          <t>HALLANDS LÄN</t>
        </is>
      </c>
      <c r="G254" t="inlineStr">
        <is>
          <t>KUNGSBACKA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46281</v>
      </c>
      <c r="F255" t="inlineStr">
        <is>
          <t>HALLANDS LÄN</t>
        </is>
      </c>
      <c r="G255" t="inlineStr">
        <is>
          <t>KUNGSBACKA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46269</v>
      </c>
      <c r="E256" s="1" t="n">
        <v>46281</v>
      </c>
      <c r="F256" t="inlineStr">
        <is>
          <t>HALLANDS LÄN</t>
        </is>
      </c>
      <c r="G256" t="inlineStr">
        <is>
          <t>KUNGSBACKA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46281</v>
      </c>
      <c r="F257" t="inlineStr">
        <is>
          <t>HALLANDS LÄN</t>
        </is>
      </c>
      <c r="G257" t="inlineStr">
        <is>
          <t>KUNGSBACKA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45749</v>
      </c>
      <c r="E258" s="1" t="n">
        <v>46281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45653</v>
      </c>
      <c r="E259" s="1" t="n">
        <v>46281</v>
      </c>
      <c r="F259" t="inlineStr">
        <is>
          <t>HALLANDS LÄN</t>
        </is>
      </c>
      <c r="G259" t="inlineStr">
        <is>
          <t>KUNGSBACKA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45653</v>
      </c>
      <c r="E260" s="1" t="n">
        <v>46281</v>
      </c>
      <c r="F260" t="inlineStr">
        <is>
          <t>HALLANDS LÄN</t>
        </is>
      </c>
      <c r="G260" t="inlineStr">
        <is>
          <t>KUNGSBACKA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45733</v>
      </c>
      <c r="E261" s="1" t="n">
        <v>46281</v>
      </c>
      <c r="F261" t="inlineStr">
        <is>
          <t>HALLANDS LÄN</t>
        </is>
      </c>
      <c r="G261" t="inlineStr">
        <is>
          <t>KUNGSBACKA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46281</v>
      </c>
      <c r="F262" t="inlineStr">
        <is>
          <t>HALLANDS LÄN</t>
        </is>
      </c>
      <c r="G262" t="inlineStr">
        <is>
          <t>KUNGSBACKA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46281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46281</v>
      </c>
      <c r="F264" t="inlineStr">
        <is>
          <t>HALLANDS LÄN</t>
        </is>
      </c>
      <c r="G264" t="inlineStr">
        <is>
          <t>KUNGSBACKA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46281</v>
      </c>
      <c r="F265" t="inlineStr">
        <is>
          <t>HALLANDS LÄN</t>
        </is>
      </c>
      <c r="G265" t="inlineStr">
        <is>
          <t>KUNGSBACKA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45323</v>
      </c>
      <c r="E266" s="1" t="n">
        <v>46281</v>
      </c>
      <c r="F266" t="inlineStr">
        <is>
          <t>HALLANDS LÄN</t>
        </is>
      </c>
      <c r="G266" t="inlineStr">
        <is>
          <t>KUNGSBACKA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46281</v>
      </c>
      <c r="F267" t="inlineStr">
        <is>
          <t>HALLANDS LÄN</t>
        </is>
      </c>
      <c r="G267" t="inlineStr">
        <is>
          <t>KUNGSBACKA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45776</v>
      </c>
      <c r="E268" s="1" t="n">
        <v>46281</v>
      </c>
      <c r="F268" t="inlineStr">
        <is>
          <t>HALLANDS LÄN</t>
        </is>
      </c>
      <c r="G268" t="inlineStr">
        <is>
          <t>KUNGSBACKA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45777</v>
      </c>
      <c r="E269" s="1" t="n">
        <v>46281</v>
      </c>
      <c r="F269" t="inlineStr">
        <is>
          <t>HALLANDS LÄN</t>
        </is>
      </c>
      <c r="G269" t="inlineStr">
        <is>
          <t>KUNGSBACKA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45777</v>
      </c>
      <c r="E270" s="1" t="n">
        <v>46281</v>
      </c>
      <c r="F270" t="inlineStr">
        <is>
          <t>HALLANDS LÄN</t>
        </is>
      </c>
      <c r="G270" t="inlineStr">
        <is>
          <t>KUNGSBACKA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46281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46281</v>
      </c>
      <c r="F272" t="inlineStr">
        <is>
          <t>HALLANDS LÄN</t>
        </is>
      </c>
      <c r="G272" t="inlineStr">
        <is>
          <t>KUNGSBACKA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45679</v>
      </c>
      <c r="E273" s="1" t="n">
        <v>46281</v>
      </c>
      <c r="F273" t="inlineStr">
        <is>
          <t>HALLANDS LÄN</t>
        </is>
      </c>
      <c r="G273" t="inlineStr">
        <is>
          <t>KUNGSBACKA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25269-2025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45800</v>
      </c>
      <c r="E274" s="1" t="n">
        <v>46281</v>
      </c>
      <c r="F274" t="inlineStr">
        <is>
          <t>HALLANDS LÄN</t>
        </is>
      </c>
      <c r="G274" t="inlineStr">
        <is>
          <t>KUNGSBACKA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46281</v>
      </c>
      <c r="F275" t="inlineStr">
        <is>
          <t>HALLANDS LÄN</t>
        </is>
      </c>
      <c r="G275" t="inlineStr">
        <is>
          <t>KUNGSBACKA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46281</v>
      </c>
      <c r="F276" t="inlineStr">
        <is>
          <t>HALLANDS LÄN</t>
        </is>
      </c>
      <c r="G276" t="inlineStr">
        <is>
          <t>KUNGSBACKA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45776</v>
      </c>
      <c r="E277" s="1" t="n">
        <v>46281</v>
      </c>
      <c r="F277" t="inlineStr">
        <is>
          <t>HALLANDS LÄN</t>
        </is>
      </c>
      <c r="G277" t="inlineStr">
        <is>
          <t>KUNGSBACKA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46281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45819</v>
      </c>
      <c r="E279" s="1" t="n">
        <v>46281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46281</v>
      </c>
      <c r="F280" t="inlineStr">
        <is>
          <t>HALLANDS LÄN</t>
        </is>
      </c>
      <c r="G280" t="inlineStr">
        <is>
          <t>KUNGSBACKA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32894-2025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46281</v>
      </c>
      <c r="F281" t="inlineStr">
        <is>
          <t>HALLANDS LÄN</t>
        </is>
      </c>
      <c r="G281" t="inlineStr">
        <is>
          <t>KUNGSBACKA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34086-2025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46281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46281</v>
      </c>
      <c r="F283" t="inlineStr">
        <is>
          <t>HALLANDS LÄN</t>
        </is>
      </c>
      <c r="G283" t="inlineStr">
        <is>
          <t>KUNGSBACKA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46281</v>
      </c>
      <c r="F284" t="inlineStr">
        <is>
          <t>HALLANDS LÄN</t>
        </is>
      </c>
      <c r="G284" t="inlineStr">
        <is>
          <t>KUNGSBACKA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45848</v>
      </c>
      <c r="E285" s="1" t="n">
        <v>46281</v>
      </c>
      <c r="F285" t="inlineStr">
        <is>
          <t>HALLANDS LÄN</t>
        </is>
      </c>
      <c r="G285" t="inlineStr">
        <is>
          <t>KUNGSBACKA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34975-2025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45849</v>
      </c>
      <c r="E286" s="1" t="n">
        <v>46281</v>
      </c>
      <c r="F286" t="inlineStr">
        <is>
          <t>HALLANDS LÄN</t>
        </is>
      </c>
      <c r="G286" t="inlineStr">
        <is>
          <t>KUNGSBACKA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46281</v>
      </c>
      <c r="F287" t="inlineStr">
        <is>
          <t>HALLANDS LÄN</t>
        </is>
      </c>
      <c r="G287" t="inlineStr">
        <is>
          <t>KUNGSBACKA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45861</v>
      </c>
      <c r="E288" s="1" t="n">
        <v>46281</v>
      </c>
      <c r="F288" t="inlineStr">
        <is>
          <t>HALLANDS LÄN</t>
        </is>
      </c>
      <c r="G288" t="inlineStr">
        <is>
          <t>KUNGSBACKA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45862</v>
      </c>
      <c r="E289" s="1" t="n">
        <v>46281</v>
      </c>
      <c r="F289" t="inlineStr">
        <is>
          <t>HALLANDS LÄN</t>
        </is>
      </c>
      <c r="G289" t="inlineStr">
        <is>
          <t>KUNGSBACKA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46281</v>
      </c>
      <c r="F290" t="inlineStr">
        <is>
          <t>HALLANDS LÄN</t>
        </is>
      </c>
      <c r="G290" t="inlineStr">
        <is>
          <t>KUNGSBACKA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46281</v>
      </c>
      <c r="F291" t="inlineStr">
        <is>
          <t>HALLANDS LÄN</t>
        </is>
      </c>
      <c r="G291" t="inlineStr">
        <is>
          <t>KUNGSBACKA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46281</v>
      </c>
      <c r="F292" t="inlineStr">
        <is>
          <t>HALLANDS LÄN</t>
        </is>
      </c>
      <c r="G292" t="inlineStr">
        <is>
          <t>KUNGSBACKA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34620-2025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45847</v>
      </c>
      <c r="E293" s="1" t="n">
        <v>46281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46281</v>
      </c>
      <c r="F294" t="inlineStr">
        <is>
          <t>HALLANDS LÄN</t>
        </is>
      </c>
      <c r="G294" t="inlineStr">
        <is>
          <t>KUNGSBACKA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45478</v>
      </c>
      <c r="E295" s="1" t="n">
        <v>46281</v>
      </c>
      <c r="F295" t="inlineStr">
        <is>
          <t>HALLANDS LÄN</t>
        </is>
      </c>
      <c r="G295" t="inlineStr">
        <is>
          <t>KUNGSBACKA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46281</v>
      </c>
      <c r="F296" t="inlineStr">
        <is>
          <t>HALLANDS LÄN</t>
        </is>
      </c>
      <c r="G296" t="inlineStr">
        <is>
          <t>KUNGSBACKA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45337</v>
      </c>
      <c r="E297" s="1" t="n">
        <v>46281</v>
      </c>
      <c r="F297" t="inlineStr">
        <is>
          <t>HALLANDS LÄN</t>
        </is>
      </c>
      <c r="G297" t="inlineStr">
        <is>
          <t>KUNGSBACKA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46281</v>
      </c>
      <c r="F298" t="inlineStr">
        <is>
          <t>HALLANDS LÄN</t>
        </is>
      </c>
      <c r="G298" t="inlineStr">
        <is>
          <t>KUNGSBACKA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45524</v>
      </c>
      <c r="E299" s="1" t="n">
        <v>46281</v>
      </c>
      <c r="F299" t="inlineStr">
        <is>
          <t>HALLANDS LÄN</t>
        </is>
      </c>
      <c r="G299" t="inlineStr">
        <is>
          <t>KUNGSBACKA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46281</v>
      </c>
      <c r="F300" t="inlineStr">
        <is>
          <t>HALLANDS LÄN</t>
        </is>
      </c>
      <c r="G300" t="inlineStr">
        <is>
          <t>KUNGSBACKA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46281</v>
      </c>
      <c r="F301" t="inlineStr">
        <is>
          <t>HALLANDS LÄN</t>
        </is>
      </c>
      <c r="G301" t="inlineStr">
        <is>
          <t>KUNGSBACKA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45686</v>
      </c>
      <c r="E302" s="1" t="n">
        <v>46281</v>
      </c>
      <c r="F302" t="inlineStr">
        <is>
          <t>HALLANDS LÄN</t>
        </is>
      </c>
      <c r="G302" t="inlineStr">
        <is>
          <t>KUNGSBACKA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46281</v>
      </c>
      <c r="F303" t="inlineStr">
        <is>
          <t>HALLANDS LÄN</t>
        </is>
      </c>
      <c r="G303" t="inlineStr">
        <is>
          <t>KUNGSBACKA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46281</v>
      </c>
      <c r="F304" t="inlineStr">
        <is>
          <t>HALLANDS LÄN</t>
        </is>
      </c>
      <c r="G304" t="inlineStr">
        <is>
          <t>KUNGSBACKA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46281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46281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45118</v>
      </c>
      <c r="E307" s="1" t="n">
        <v>46281</v>
      </c>
      <c r="F307" t="inlineStr">
        <is>
          <t>HALLANDS LÄN</t>
        </is>
      </c>
      <c r="G307" t="inlineStr">
        <is>
          <t>KUNGSBACKA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45062</v>
      </c>
      <c r="E308" s="1" t="n">
        <v>46281</v>
      </c>
      <c r="F308" t="inlineStr">
        <is>
          <t>HALLANDS LÄN</t>
        </is>
      </c>
      <c r="G308" t="inlineStr">
        <is>
          <t>KUNGSBACKA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46281</v>
      </c>
      <c r="F309" t="inlineStr">
        <is>
          <t>HALLANDS LÄN</t>
        </is>
      </c>
      <c r="G309" t="inlineStr">
        <is>
          <t>KUNGSBACKA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45091</v>
      </c>
      <c r="E310" s="1" t="n">
        <v>46281</v>
      </c>
      <c r="F310" t="inlineStr">
        <is>
          <t>HALLANDS LÄN</t>
        </is>
      </c>
      <c r="G310" t="inlineStr">
        <is>
          <t>KUNGSBACKA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45134</v>
      </c>
      <c r="E311" s="1" t="n">
        <v>46281</v>
      </c>
      <c r="F311" t="inlineStr">
        <is>
          <t>HALLANDS LÄN</t>
        </is>
      </c>
      <c r="G311" t="inlineStr">
        <is>
          <t>KUNGSBACKA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46281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45639</v>
      </c>
      <c r="E313" s="1" t="n">
        <v>46281</v>
      </c>
      <c r="F313" t="inlineStr">
        <is>
          <t>HALLANDS LÄN</t>
        </is>
      </c>
      <c r="G313" t="inlineStr">
        <is>
          <t>KUNGSBACKA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46281</v>
      </c>
      <c r="F314" t="inlineStr">
        <is>
          <t>HALLANDS LÄN</t>
        </is>
      </c>
      <c r="G314" t="inlineStr">
        <is>
          <t>KUNGSBACKA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45062</v>
      </c>
      <c r="E315" s="1" t="n">
        <v>46281</v>
      </c>
      <c r="F315" t="inlineStr">
        <is>
          <t>HALLANDS LÄN</t>
        </is>
      </c>
      <c r="G315" t="inlineStr">
        <is>
          <t>KUNGSBACKA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46281</v>
      </c>
      <c r="F316" t="inlineStr">
        <is>
          <t>HALLANDS LÄN</t>
        </is>
      </c>
      <c r="G316" t="inlineStr">
        <is>
          <t>KUNGSBACKA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58779-2024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45635</v>
      </c>
      <c r="E317" s="1" t="n">
        <v>46281</v>
      </c>
      <c r="F317" t="inlineStr">
        <is>
          <t>HALLANDS LÄN</t>
        </is>
      </c>
      <c r="G317" t="inlineStr">
        <is>
          <t>KUNGSBACKA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46281</v>
      </c>
      <c r="F318" t="inlineStr">
        <is>
          <t>HALLANDS LÄN</t>
        </is>
      </c>
      <c r="G318" t="inlineStr">
        <is>
          <t>KUNGSBACKA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46281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2026-09-16T02:01:34Z</dcterms:created>
  <dcterms:modified xmlns:dcterms="http://purl.org/dc/terms/" xmlns:xsi="http://www.w3.org/2001/XMLSchema-instance" xsi:type="dcterms:W3CDTF">2026-09-16T02:01:35Z</dcterms:modified>
</cp:coreProperties>
</file>