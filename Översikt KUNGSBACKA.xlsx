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46252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46252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46252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46252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46252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46252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46252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46252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16076-2025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45749</v>
      </c>
      <c r="E17" s="1" t="n">
        <v>46252</v>
      </c>
      <c r="F17" t="inlineStr">
        <is>
          <t>HALLANDS LÄN</t>
        </is>
      </c>
      <c r="G17" t="inlineStr">
        <is>
          <t>KUNGSBACKA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HYPERLINK("https://klasma.github.io/Logging_1384/artfynd/A 16076-2025 artfynd.xlsx", "A 16076-2025")</f>
        <v/>
      </c>
      <c r="X17">
        <f>HYPERLINK("https://klasma.github.io/Logging_1384/kartor/A 16076-2025 karta.png", "A 16076-2025")</f>
        <v/>
      </c>
      <c r="Y17">
        <f>HYPERLINK("https://klasma.github.io/Logging_1384/kartor_geotiff/A 16076-2025 georefererad karta.tif", "A 16076-2025")</f>
        <v/>
      </c>
      <c r="AA17">
        <f>HYPERLINK("https://klasma.github.io/Logging_1384/klagomål/A 16076-2025 FSC-klagomål.docx", "A 16076-2025")</f>
        <v/>
      </c>
      <c r="AB17">
        <f>HYPERLINK("https://klasma.github.io/Logging_1384/klagomålsmail/A 16076-2025 FSC-klagomål mail.docx", "A 16076-2025")</f>
        <v/>
      </c>
      <c r="AC17">
        <f>HYPERLINK("https://klasma.github.io/Logging_1384/tillsyn/A 16076-2025 tillsynsbegäran.docx", "A 16076-2025")</f>
        <v/>
      </c>
      <c r="AD17">
        <f>HYPERLINK("https://klasma.github.io/Logging_1384/tillsynsmail/A 16076-2025 tillsynsbegäran mail.docx", "A 16076-2025")</f>
        <v/>
      </c>
      <c r="AE17">
        <f>HYPERLINK("https://klasma.github.io/Logging_1384/fåglar/A 16076-2025 prioriterade fågelarter.docx", "A 16076-2025")</f>
        <v/>
      </c>
    </row>
    <row r="18" ht="15" customHeight="1">
      <c r="A18" t="inlineStr">
        <is>
          <t>A 13932-2025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45737</v>
      </c>
      <c r="E18" s="1" t="n">
        <v>46252</v>
      </c>
      <c r="F18" t="inlineStr">
        <is>
          <t>HALLANDS LÄN</t>
        </is>
      </c>
      <c r="G18" t="inlineStr">
        <is>
          <t>KUNGSBACKA</t>
        </is>
      </c>
      <c r="I18" t="n">
        <v>2.5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HYPERLINK("https://klasma.github.io/Logging_1384/artfynd/A 13932-2025 artfynd.xlsx", "A 13932-2025")</f>
        <v/>
      </c>
      <c r="X18">
        <f>HYPERLINK("https://klasma.github.io/Logging_1384/kartor/A 13932-2025 karta.png", "A 13932-2025")</f>
        <v/>
      </c>
      <c r="Y18">
        <f>HYPERLINK("https://klasma.github.io/Logging_1384/kartor_geotiff/A 13932-2025 georefererad karta.tif", "A 13932-2025")</f>
        <v/>
      </c>
      <c r="AA18">
        <f>HYPERLINK("https://klasma.github.io/Logging_1384/klagomål/A 13932-2025 FSC-klagomål.docx", "A 13932-2025")</f>
        <v/>
      </c>
      <c r="AB18">
        <f>HYPERLINK("https://klasma.github.io/Logging_1384/klagomålsmail/A 13932-2025 FSC-klagomål mail.docx", "A 13932-2025")</f>
        <v/>
      </c>
      <c r="AC18">
        <f>HYPERLINK("https://klasma.github.io/Logging_1384/tillsyn/A 13932-2025 tillsynsbegäran.docx", "A 13932-2025")</f>
        <v/>
      </c>
      <c r="AD18">
        <f>HYPERLINK("https://klasma.github.io/Logging_1384/tillsynsmail/A 13932-2025 tillsynsbegäran mail.docx", "A 13932-2025")</f>
        <v/>
      </c>
    </row>
    <row r="19" ht="15" customHeight="1">
      <c r="A19" t="inlineStr">
        <is>
          <t>A 11154-2022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44629</v>
      </c>
      <c r="E19" s="1" t="n">
        <v>46252</v>
      </c>
      <c r="F19" t="inlineStr">
        <is>
          <t>HALLANDS LÄN</t>
        </is>
      </c>
      <c r="G19" t="inlineStr">
        <is>
          <t>KUNGSBACKA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HYPERLINK("https://klasma.github.io/Logging_1384/artfynd/A 11154-2022 artfynd.xlsx", "A 11154-2022")</f>
        <v/>
      </c>
      <c r="X19">
        <f>HYPERLINK("https://klasma.github.io/Logging_1384/kartor/A 11154-2022 karta.png", "A 11154-2022")</f>
        <v/>
      </c>
      <c r="Y19">
        <f>HYPERLINK("https://klasma.github.io/Logging_1384/kartor_geotiff/A 11154-2022 georefererad karta.tif", "A 11154-2022")</f>
        <v/>
      </c>
      <c r="AA19">
        <f>HYPERLINK("https://klasma.github.io/Logging_1384/klagomål/A 11154-2022 FSC-klagomål.docx", "A 11154-2022")</f>
        <v/>
      </c>
      <c r="AB19">
        <f>HYPERLINK("https://klasma.github.io/Logging_1384/klagomålsmail/A 11154-2022 FSC-klagomål mail.docx", "A 11154-2022")</f>
        <v/>
      </c>
      <c r="AC19">
        <f>HYPERLINK("https://klasma.github.io/Logging_1384/tillsyn/A 11154-2022 tillsynsbegäran.docx", "A 11154-2022")</f>
        <v/>
      </c>
      <c r="AD19">
        <f>HYPERLINK("https://klasma.github.io/Logging_1384/tillsynsmail/A 11154-2022 tillsynsbegäran mail.docx", "A 11154-2022")</f>
        <v/>
      </c>
      <c r="AE19">
        <f>HYPERLINK("https://klasma.github.io/Logging_1384/fåglar/A 11154-2022 prioriterade fågelarter.docx", "A 11154-2022")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46252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46252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46252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46252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46252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46252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3281-2025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45679</v>
      </c>
      <c r="E26" s="1" t="n">
        <v>46252</v>
      </c>
      <c r="F26" t="inlineStr">
        <is>
          <t>HALLANDS LÄN</t>
        </is>
      </c>
      <c r="G26" t="inlineStr">
        <is>
          <t>KUNGSBACKA</t>
        </is>
      </c>
      <c r="I26" t="n">
        <v>10.8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3281-2025 artfynd.xlsx", "A 3281-2025")</f>
        <v/>
      </c>
      <c r="X26">
        <f>HYPERLINK("https://klasma.github.io/Logging_1384/kartor/A 3281-2025 karta.png", "A 3281-2025")</f>
        <v/>
      </c>
      <c r="Y26">
        <f>HYPERLINK("https://klasma.github.io/Logging_1384/kartor_geotiff/A 3281-2025 georefererad karta.tif", "A 3281-2025")</f>
        <v/>
      </c>
      <c r="AA26">
        <f>HYPERLINK("https://klasma.github.io/Logging_1384/klagomål/A 3281-2025 FSC-klagomål.docx", "A 3281-2025")</f>
        <v/>
      </c>
      <c r="AB26">
        <f>HYPERLINK("https://klasma.github.io/Logging_1384/klagomålsmail/A 3281-2025 FSC-klagomål mail.docx", "A 3281-2025")</f>
        <v/>
      </c>
      <c r="AC26">
        <f>HYPERLINK("https://klasma.github.io/Logging_1384/tillsyn/A 3281-2025 tillsynsbegäran.docx", "A 3281-2025")</f>
        <v/>
      </c>
      <c r="AD26">
        <f>HYPERLINK("https://klasma.github.io/Logging_1384/tillsynsmail/A 3281-2025 tillsynsbegäran mail.docx", "A 3281-2025")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46252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18150-2026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46125</v>
      </c>
      <c r="E28" s="1" t="n">
        <v>46252</v>
      </c>
      <c r="F28" t="inlineStr">
        <is>
          <t>HALLANDS LÄN</t>
        </is>
      </c>
      <c r="G28" t="inlineStr">
        <is>
          <t>KUNGSBACKA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Järnek</t>
        </is>
      </c>
      <c r="W28">
        <f>HYPERLINK("https://klasma.github.io/Logging_1384/artfynd/A 18150-2026 artfynd.xlsx", "A 18150-2026")</f>
        <v/>
      </c>
      <c r="X28">
        <f>HYPERLINK("https://klasma.github.io/Logging_1384/kartor/A 18150-2026 karta.png", "A 18150-2026")</f>
        <v/>
      </c>
      <c r="Y28">
        <f>HYPERLINK("https://klasma.github.io/Logging_1384/kartor_geotiff/A 18150-2026 georefererad karta.tif", "A 18150-2026")</f>
        <v/>
      </c>
      <c r="AA28">
        <f>HYPERLINK("https://klasma.github.io/Logging_1384/klagomål/A 18150-2026 FSC-klagomål.docx", "A 18150-2026")</f>
        <v/>
      </c>
      <c r="AB28">
        <f>HYPERLINK("https://klasma.github.io/Logging_1384/klagomålsmail/A 18150-2026 FSC-klagomål mail.docx", "A 18150-2026")</f>
        <v/>
      </c>
      <c r="AC28">
        <f>HYPERLINK("https://klasma.github.io/Logging_1384/tillsyn/A 18150-2026 tillsynsbegäran.docx", "A 18150-2026")</f>
        <v/>
      </c>
      <c r="AD28">
        <f>HYPERLINK("https://klasma.github.io/Logging_1384/tillsynsmail/A 18150-2026 tillsynsbegäran mail.docx", "A 18150-2026")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46252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46252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46252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46252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46252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46252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46252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46252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46252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46252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46252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46252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46252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46252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46252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45265</v>
      </c>
      <c r="E44" s="1" t="n">
        <v>46252</v>
      </c>
      <c r="F44" t="inlineStr">
        <is>
          <t>HALLANDS LÄN</t>
        </is>
      </c>
      <c r="G44" t="inlineStr">
        <is>
          <t>KUNGSBACKA</t>
        </is>
      </c>
      <c r="I44" t="n">
        <v>13.8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44851</v>
      </c>
      <c r="E45" s="1" t="n">
        <v>46252</v>
      </c>
      <c r="F45" t="inlineStr">
        <is>
          <t>HALLANDS LÄN</t>
        </is>
      </c>
      <c r="G45" t="inlineStr">
        <is>
          <t>KUNGSBACKA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46252</v>
      </c>
      <c r="F46" t="inlineStr">
        <is>
          <t>HALLANDS LÄN</t>
        </is>
      </c>
      <c r="G46" t="inlineStr">
        <is>
          <t>KUNGSBACKA</t>
        </is>
      </c>
      <c r="H46" t="inlineStr">
        <is>
          <t>Kyrkan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46252</v>
      </c>
      <c r="F47" t="inlineStr">
        <is>
          <t>HALLANDS LÄN</t>
        </is>
      </c>
      <c r="G47" t="inlineStr">
        <is>
          <t>KUNGSBACKA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45776</v>
      </c>
      <c r="E48" s="1" t="n">
        <v>46252</v>
      </c>
      <c r="F48" t="inlineStr">
        <is>
          <t>HALLANDS LÄN</t>
        </is>
      </c>
      <c r="G48" t="inlineStr">
        <is>
          <t>KUNGSBACKA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46252</v>
      </c>
      <c r="F49" t="inlineStr">
        <is>
          <t>HALLANDS LÄN</t>
        </is>
      </c>
      <c r="G49" t="inlineStr">
        <is>
          <t>KUNGSBACKA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46252</v>
      </c>
      <c r="F50" t="inlineStr">
        <is>
          <t>HALLANDS LÄN</t>
        </is>
      </c>
      <c r="G50" t="inlineStr">
        <is>
          <t>KUNGSBACKA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28383-2025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46252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45820</v>
      </c>
      <c r="E52" s="1" t="n">
        <v>46252</v>
      </c>
      <c r="F52" t="inlineStr">
        <is>
          <t>HALLANDS LÄN</t>
        </is>
      </c>
      <c r="G52" t="inlineStr">
        <is>
          <t>KUNGSBACKA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46252</v>
      </c>
      <c r="F53" t="inlineStr">
        <is>
          <t>HALLANDS LÄN</t>
        </is>
      </c>
      <c r="G53" t="inlineStr">
        <is>
          <t>KUNGSBACKA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35808-2024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46252</v>
      </c>
      <c r="F54" t="inlineStr">
        <is>
          <t>HALLANDS LÄN</t>
        </is>
      </c>
      <c r="G54" t="inlineStr">
        <is>
          <t>KUNGSBACKA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45888</v>
      </c>
      <c r="E55" s="1" t="n">
        <v>46252</v>
      </c>
      <c r="F55" t="inlineStr">
        <is>
          <t>HALLANDS LÄN</t>
        </is>
      </c>
      <c r="G55" t="inlineStr">
        <is>
          <t>KUNGSBACKA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45632</v>
      </c>
      <c r="E56" s="1" t="n">
        <v>46252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58330-2024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45632</v>
      </c>
      <c r="E57" s="1" t="n">
        <v>46252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45323</v>
      </c>
      <c r="E58" s="1" t="n">
        <v>46252</v>
      </c>
      <c r="F58" t="inlineStr">
        <is>
          <t>HALLANDS LÄN</t>
        </is>
      </c>
      <c r="G58" t="inlineStr">
        <is>
          <t>KUNGSBACKA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46252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46252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46252</v>
      </c>
      <c r="F61" t="inlineStr">
        <is>
          <t>HALLANDS LÄN</t>
        </is>
      </c>
      <c r="G61" t="inlineStr">
        <is>
          <t>KUNGSBACKA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46252</v>
      </c>
      <c r="F62" t="inlineStr">
        <is>
          <t>HALLANDS LÄN</t>
        </is>
      </c>
      <c r="G62" t="inlineStr">
        <is>
          <t>KUNGSBACKA</t>
        </is>
      </c>
      <c r="H62" t="inlineStr">
        <is>
          <t>Kyrkan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44748</v>
      </c>
      <c r="E63" s="1" t="n">
        <v>46252</v>
      </c>
      <c r="F63" t="inlineStr">
        <is>
          <t>HALLANDS LÄN</t>
        </is>
      </c>
      <c r="G63" t="inlineStr">
        <is>
          <t>KUNGSBACKA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45253</v>
      </c>
      <c r="E64" s="1" t="n">
        <v>46252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46252</v>
      </c>
      <c r="F65" t="inlineStr">
        <is>
          <t>HALLANDS LÄN</t>
        </is>
      </c>
      <c r="G65" t="inlineStr">
        <is>
          <t>KUNGSBACKA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46252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46252</v>
      </c>
      <c r="F67" t="inlineStr">
        <is>
          <t>HALLANDS LÄN</t>
        </is>
      </c>
      <c r="G67" t="inlineStr">
        <is>
          <t>KUNGSBACKA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46252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11296-2024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45371</v>
      </c>
      <c r="E69" s="1" t="n">
        <v>46252</v>
      </c>
      <c r="F69" t="inlineStr">
        <is>
          <t>HALLANDS LÄN</t>
        </is>
      </c>
      <c r="G69" t="inlineStr">
        <is>
          <t>KUNGSBACKA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16075-2025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45749</v>
      </c>
      <c r="E70" s="1" t="n">
        <v>46252</v>
      </c>
      <c r="F70" t="inlineStr">
        <is>
          <t>HALLANDS LÄN</t>
        </is>
      </c>
      <c r="G70" t="inlineStr">
        <is>
          <t>KUNGSBACKA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31617-2022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44775</v>
      </c>
      <c r="E71" s="1" t="n">
        <v>46252</v>
      </c>
      <c r="F71" t="inlineStr">
        <is>
          <t>HALLANDS LÄN</t>
        </is>
      </c>
      <c r="G71" t="inlineStr">
        <is>
          <t>KUNGSBACKA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46252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46252</v>
      </c>
      <c r="F73" t="inlineStr">
        <is>
          <t>HALLANDS LÄN</t>
        </is>
      </c>
      <c r="G73" t="inlineStr">
        <is>
          <t>KUNGSBACKA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46252</v>
      </c>
      <c r="F74" t="inlineStr">
        <is>
          <t>HALLANDS LÄN</t>
        </is>
      </c>
      <c r="G74" t="inlineStr">
        <is>
          <t>KUNGSBACKA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46252</v>
      </c>
      <c r="F75" t="inlineStr">
        <is>
          <t>HALLANDS LÄN</t>
        </is>
      </c>
      <c r="G75" t="inlineStr">
        <is>
          <t>KUNGSBACKA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46252</v>
      </c>
      <c r="F76" t="inlineStr">
        <is>
          <t>HALLANDS LÄN</t>
        </is>
      </c>
      <c r="G76" t="inlineStr">
        <is>
          <t>KUNGSBACKA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44967</v>
      </c>
      <c r="E77" s="1" t="n">
        <v>46252</v>
      </c>
      <c r="F77" t="inlineStr">
        <is>
          <t>HALLANDS LÄN</t>
        </is>
      </c>
      <c r="G77" t="inlineStr">
        <is>
          <t>KUNGSBACKA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45846</v>
      </c>
      <c r="E78" s="1" t="n">
        <v>46252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34407-2025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45846</v>
      </c>
      <c r="E79" s="1" t="n">
        <v>46252</v>
      </c>
      <c r="F79" t="inlineStr">
        <is>
          <t>HALLANDS LÄN</t>
        </is>
      </c>
      <c r="G79" t="inlineStr">
        <is>
          <t>KUNGSBACKA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46252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46252</v>
      </c>
      <c r="F81" t="inlineStr">
        <is>
          <t>HALLANDS LÄN</t>
        </is>
      </c>
      <c r="G81" t="inlineStr">
        <is>
          <t>KUNGSBACKA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46252</v>
      </c>
      <c r="F82" t="inlineStr">
        <is>
          <t>HALLANDS LÄN</t>
        </is>
      </c>
      <c r="G82" t="inlineStr">
        <is>
          <t>KUNGSBACKA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45848</v>
      </c>
      <c r="E83" s="1" t="n">
        <v>46252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9965-2025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45719</v>
      </c>
      <c r="E84" s="1" t="n">
        <v>46252</v>
      </c>
      <c r="F84" t="inlineStr">
        <is>
          <t>HALLANDS LÄN</t>
        </is>
      </c>
      <c r="G84" t="inlineStr">
        <is>
          <t>KUNGSBACKA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9976-2025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45719</v>
      </c>
      <c r="E85" s="1" t="n">
        <v>46252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34975-2025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45849</v>
      </c>
      <c r="E86" s="1" t="n">
        <v>46252</v>
      </c>
      <c r="F86" t="inlineStr">
        <is>
          <t>HALLANDS LÄN</t>
        </is>
      </c>
      <c r="G86" t="inlineStr">
        <is>
          <t>KUNGSBACKA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46252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11097-2023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46252</v>
      </c>
      <c r="F88" t="inlineStr">
        <is>
          <t>HALLANDS LÄN</t>
        </is>
      </c>
      <c r="G88" t="inlineStr">
        <is>
          <t>KUNGSBACKA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46252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46252</v>
      </c>
      <c r="F90" t="inlineStr">
        <is>
          <t>HALLANDS LÄN</t>
        </is>
      </c>
      <c r="G90" t="inlineStr">
        <is>
          <t>KUNGSBACKA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46252</v>
      </c>
      <c r="F91" t="inlineStr">
        <is>
          <t>HALLANDS LÄN</t>
        </is>
      </c>
      <c r="G91" t="inlineStr">
        <is>
          <t>KUNGSBACKA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46252</v>
      </c>
      <c r="F92" t="inlineStr">
        <is>
          <t>HALLANDS LÄN</t>
        </is>
      </c>
      <c r="G92" t="inlineStr">
        <is>
          <t>KUNGSBACKA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46252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46252</v>
      </c>
      <c r="F94" t="inlineStr">
        <is>
          <t>HALLANDS LÄN</t>
        </is>
      </c>
      <c r="G94" t="inlineStr">
        <is>
          <t>KUNGSBACKA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46252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71676-2021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46252</v>
      </c>
      <c r="F96" t="inlineStr">
        <is>
          <t>HALLANDS LÄN</t>
        </is>
      </c>
      <c r="G96" t="inlineStr">
        <is>
          <t>KUNGSBACKA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46252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46252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33983-2023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45134</v>
      </c>
      <c r="E99" s="1" t="n">
        <v>46252</v>
      </c>
      <c r="F99" t="inlineStr">
        <is>
          <t>HALLANDS LÄN</t>
        </is>
      </c>
      <c r="G99" t="inlineStr">
        <is>
          <t>KUNGSBACKA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45656</v>
      </c>
      <c r="E100" s="1" t="n">
        <v>46252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45656</v>
      </c>
      <c r="E101" s="1" t="n">
        <v>46252</v>
      </c>
      <c r="F101" t="inlineStr">
        <is>
          <t>HALLANDS LÄN</t>
        </is>
      </c>
      <c r="G101" t="inlineStr">
        <is>
          <t>KUNGSBACKA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46252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46252</v>
      </c>
      <c r="F103" t="inlineStr">
        <is>
          <t>HALLANDS LÄN</t>
        </is>
      </c>
      <c r="G103" t="inlineStr">
        <is>
          <t>KUNGSBACKA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45524</v>
      </c>
      <c r="E104" s="1" t="n">
        <v>46252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46252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45576</v>
      </c>
      <c r="E106" s="1" t="n">
        <v>46252</v>
      </c>
      <c r="F106" t="inlineStr">
        <is>
          <t>HALLANDS LÄN</t>
        </is>
      </c>
      <c r="G106" t="inlineStr">
        <is>
          <t>KUNGSBACKA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62664-2022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44925</v>
      </c>
      <c r="E107" s="1" t="n">
        <v>46252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45742</v>
      </c>
      <c r="E108" s="1" t="n">
        <v>46252</v>
      </c>
      <c r="F108" t="inlineStr">
        <is>
          <t>HALLANDS LÄN</t>
        </is>
      </c>
      <c r="G108" t="inlineStr">
        <is>
          <t>KUNGSBACKA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46252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46252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46252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46252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46252</v>
      </c>
      <c r="F113" t="inlineStr">
        <is>
          <t>HALLANDS LÄN</t>
        </is>
      </c>
      <c r="G113" t="inlineStr">
        <is>
          <t>KUNGSBACKA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46252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46252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44869</v>
      </c>
      <c r="E116" s="1" t="n">
        <v>46252</v>
      </c>
      <c r="F116" t="inlineStr">
        <is>
          <t>HALLANDS LÄN</t>
        </is>
      </c>
      <c r="G116" t="inlineStr">
        <is>
          <t>KUNGSBACKA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45733</v>
      </c>
      <c r="E117" s="1" t="n">
        <v>46252</v>
      </c>
      <c r="F117" t="inlineStr">
        <is>
          <t>HALLANDS LÄN</t>
        </is>
      </c>
      <c r="G117" t="inlineStr">
        <is>
          <t>KUNGSBACKA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28608-2023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46252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46252</v>
      </c>
      <c r="F119" t="inlineStr">
        <is>
          <t>HALLANDS LÄN</t>
        </is>
      </c>
      <c r="G119" t="inlineStr">
        <is>
          <t>KUNGSBACKA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46252</v>
      </c>
      <c r="F120" t="inlineStr">
        <is>
          <t>HALLANDS LÄN</t>
        </is>
      </c>
      <c r="G120" t="inlineStr">
        <is>
          <t>KUNGSBACKA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46252</v>
      </c>
      <c r="F121" t="inlineStr">
        <is>
          <t>HALLANDS LÄN</t>
        </is>
      </c>
      <c r="G121" t="inlineStr">
        <is>
          <t>KUNGSBACKA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46252</v>
      </c>
      <c r="F122" t="inlineStr">
        <is>
          <t>HALLANDS LÄN</t>
        </is>
      </c>
      <c r="G122" t="inlineStr">
        <is>
          <t>KUNGSBACKA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46252</v>
      </c>
      <c r="F123" t="inlineStr">
        <is>
          <t>HALLANDS LÄN</t>
        </is>
      </c>
      <c r="G123" t="inlineStr">
        <is>
          <t>KUNGSBACKA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46252</v>
      </c>
      <c r="F124" t="inlineStr">
        <is>
          <t>HALLANDS LÄN</t>
        </is>
      </c>
      <c r="G124" t="inlineStr">
        <is>
          <t>KUNGSBACKA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46252</v>
      </c>
      <c r="F125" t="inlineStr">
        <is>
          <t>HALLANDS LÄN</t>
        </is>
      </c>
      <c r="G125" t="inlineStr">
        <is>
          <t>KUNGSBACKA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45062</v>
      </c>
      <c r="E126" s="1" t="n">
        <v>46252</v>
      </c>
      <c r="F126" t="inlineStr">
        <is>
          <t>HALLANDS LÄN</t>
        </is>
      </c>
      <c r="G126" t="inlineStr">
        <is>
          <t>KUNGSBACKA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46252</v>
      </c>
      <c r="F127" t="inlineStr">
        <is>
          <t>HALLANDS LÄN</t>
        </is>
      </c>
      <c r="G127" t="inlineStr">
        <is>
          <t>KUNGSBACKA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46252</v>
      </c>
      <c r="F128" t="inlineStr">
        <is>
          <t>HALLANDS LÄN</t>
        </is>
      </c>
      <c r="G128" t="inlineStr">
        <is>
          <t>KUNGSBACKA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46252</v>
      </c>
      <c r="F129" t="inlineStr">
        <is>
          <t>HALLANDS LÄN</t>
        </is>
      </c>
      <c r="G129" t="inlineStr">
        <is>
          <t>KUNGSBACKA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46252</v>
      </c>
      <c r="F130" t="inlineStr">
        <is>
          <t>HALLANDS LÄN</t>
        </is>
      </c>
      <c r="G130" t="inlineStr">
        <is>
          <t>KUNGSBACKA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46252</v>
      </c>
      <c r="F131" t="inlineStr">
        <is>
          <t>HALLANDS LÄN</t>
        </is>
      </c>
      <c r="G131" t="inlineStr">
        <is>
          <t>KUNGSBACKA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46252</v>
      </c>
      <c r="F132" t="inlineStr">
        <is>
          <t>HALLANDS LÄN</t>
        </is>
      </c>
      <c r="G132" t="inlineStr">
        <is>
          <t>KUNGSBACKA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46252</v>
      </c>
      <c r="F133" t="inlineStr">
        <is>
          <t>HALLANDS LÄN</t>
        </is>
      </c>
      <c r="G133" t="inlineStr">
        <is>
          <t>KUNGSBACKA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46252</v>
      </c>
      <c r="F134" t="inlineStr">
        <is>
          <t>HALLANDS LÄN</t>
        </is>
      </c>
      <c r="G134" t="inlineStr">
        <is>
          <t>KUNGSBACKA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46252</v>
      </c>
      <c r="F135" t="inlineStr">
        <is>
          <t>HALLANDS LÄN</t>
        </is>
      </c>
      <c r="G135" t="inlineStr">
        <is>
          <t>KUNGSBACKA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45091</v>
      </c>
      <c r="E136" s="1" t="n">
        <v>46252</v>
      </c>
      <c r="F136" t="inlineStr">
        <is>
          <t>HALLANDS LÄN</t>
        </is>
      </c>
      <c r="G136" t="inlineStr">
        <is>
          <t>KUNGSBACKA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46252</v>
      </c>
      <c r="F137" t="inlineStr">
        <is>
          <t>HALLANDS LÄN</t>
        </is>
      </c>
      <c r="G137" t="inlineStr">
        <is>
          <t>KUNGSBACKA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46252</v>
      </c>
      <c r="F138" t="inlineStr">
        <is>
          <t>HALLANDS LÄN</t>
        </is>
      </c>
      <c r="G138" t="inlineStr">
        <is>
          <t>KUNGSBACKA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46252</v>
      </c>
      <c r="F139" t="inlineStr">
        <is>
          <t>HALLANDS LÄN</t>
        </is>
      </c>
      <c r="G139" t="inlineStr">
        <is>
          <t>KUNGSBACKA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46252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45686</v>
      </c>
      <c r="E141" s="1" t="n">
        <v>46252</v>
      </c>
      <c r="F141" t="inlineStr">
        <is>
          <t>HALLANDS LÄN</t>
        </is>
      </c>
      <c r="G141" t="inlineStr">
        <is>
          <t>KUNGSBACKA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46252</v>
      </c>
      <c r="F142" t="inlineStr">
        <is>
          <t>HALLANDS LÄN</t>
        </is>
      </c>
      <c r="G142" t="inlineStr">
        <is>
          <t>KUNGSBACKA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46252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46252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46252</v>
      </c>
      <c r="F145" t="inlineStr">
        <is>
          <t>HALLANDS LÄN</t>
        </is>
      </c>
      <c r="G145" t="inlineStr">
        <is>
          <t>KUNGSBACKA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46252</v>
      </c>
      <c r="F146" t="inlineStr">
        <is>
          <t>HALLANDS LÄN</t>
        </is>
      </c>
      <c r="G146" t="inlineStr">
        <is>
          <t>KUNGSBACKA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46252</v>
      </c>
      <c r="F147" t="inlineStr">
        <is>
          <t>HALLANDS LÄN</t>
        </is>
      </c>
      <c r="G147" t="inlineStr">
        <is>
          <t>KUNGSBACKA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46252</v>
      </c>
      <c r="F148" t="inlineStr">
        <is>
          <t>HALLANDS LÄN</t>
        </is>
      </c>
      <c r="G148" t="inlineStr">
        <is>
          <t>KUNGSBACKA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46252</v>
      </c>
      <c r="F149" t="inlineStr">
        <is>
          <t>HALLANDS LÄN</t>
        </is>
      </c>
      <c r="G149" t="inlineStr">
        <is>
          <t>KUNGSBACKA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44981</v>
      </c>
      <c r="E150" s="1" t="n">
        <v>46252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46252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46252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46252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44986</v>
      </c>
      <c r="E154" s="1" t="n">
        <v>46252</v>
      </c>
      <c r="F154" t="inlineStr">
        <is>
          <t>HALLANDS LÄN</t>
        </is>
      </c>
      <c r="G154" t="inlineStr">
        <is>
          <t>KUNGSBACKA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46252</v>
      </c>
      <c r="F155" t="inlineStr">
        <is>
          <t>HALLANDS LÄN</t>
        </is>
      </c>
      <c r="G155" t="inlineStr">
        <is>
          <t>KUNGSBACKA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46252</v>
      </c>
      <c r="F156" t="inlineStr">
        <is>
          <t>HALLANDS LÄN</t>
        </is>
      </c>
      <c r="G156" t="inlineStr">
        <is>
          <t>KUNGSBACKA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45160</v>
      </c>
      <c r="E157" s="1" t="n">
        <v>46252</v>
      </c>
      <c r="F157" t="inlineStr">
        <is>
          <t>HALLANDS LÄN</t>
        </is>
      </c>
      <c r="G157" t="inlineStr">
        <is>
          <t>KUNGSBACKA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46252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46252</v>
      </c>
      <c r="F159" t="inlineStr">
        <is>
          <t>HALLANDS LÄN</t>
        </is>
      </c>
      <c r="G159" t="inlineStr">
        <is>
          <t>KUNGSBACKA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46252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45968</v>
      </c>
      <c r="E161" s="1" t="n">
        <v>46252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46252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46252</v>
      </c>
      <c r="F163" t="inlineStr">
        <is>
          <t>HALLANDS LÄN</t>
        </is>
      </c>
      <c r="G163" t="inlineStr">
        <is>
          <t>KUNGSBACKA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46252</v>
      </c>
      <c r="F164" t="inlineStr">
        <is>
          <t>HALLANDS LÄN</t>
        </is>
      </c>
      <c r="G164" t="inlineStr">
        <is>
          <t>KUNGSBACKA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46252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44726</v>
      </c>
      <c r="E166" s="1" t="n">
        <v>46252</v>
      </c>
      <c r="F166" t="inlineStr">
        <is>
          <t>HALLANDS LÄN</t>
        </is>
      </c>
      <c r="G166" t="inlineStr">
        <is>
          <t>KUNGSBACKA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46252</v>
      </c>
      <c r="F167" t="inlineStr">
        <is>
          <t>HALLANDS LÄN</t>
        </is>
      </c>
      <c r="G167" t="inlineStr">
        <is>
          <t>KUNGSBACKA</t>
        </is>
      </c>
      <c r="I167" t="n">
        <v>15.2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46252</v>
      </c>
      <c r="F168" t="inlineStr">
        <is>
          <t>HALLANDS LÄN</t>
        </is>
      </c>
      <c r="G168" t="inlineStr">
        <is>
          <t>KUNGSBACKA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56293-2023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45242</v>
      </c>
      <c r="E169" s="1" t="n">
        <v>46252</v>
      </c>
      <c r="F169" t="inlineStr">
        <is>
          <t>HALLANDS LÄN</t>
        </is>
      </c>
      <c r="G169" t="inlineStr">
        <is>
          <t>KUNGSBACKA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56294-2023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45242</v>
      </c>
      <c r="E170" s="1" t="n">
        <v>46252</v>
      </c>
      <c r="F170" t="inlineStr">
        <is>
          <t>HALLANDS LÄN</t>
        </is>
      </c>
      <c r="G170" t="inlineStr">
        <is>
          <t>KUNGSBACKA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45366</v>
      </c>
      <c r="E171" s="1" t="n">
        <v>46252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46252</v>
      </c>
      <c r="F172" t="inlineStr">
        <is>
          <t>HALLANDS LÄN</t>
        </is>
      </c>
      <c r="G172" t="inlineStr">
        <is>
          <t>KUNGSBACKA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46252</v>
      </c>
      <c r="F173" t="inlineStr">
        <is>
          <t>HALLANDS LÄN</t>
        </is>
      </c>
      <c r="G173" t="inlineStr">
        <is>
          <t>KUNGSBACKA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14898-2023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45014</v>
      </c>
      <c r="E174" s="1" t="n">
        <v>46252</v>
      </c>
      <c r="F174" t="inlineStr">
        <is>
          <t>HALLANDS LÄN</t>
        </is>
      </c>
      <c r="G174" t="inlineStr">
        <is>
          <t>KUNGSBACKA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44942</v>
      </c>
      <c r="E175" s="1" t="n">
        <v>46252</v>
      </c>
      <c r="F175" t="inlineStr">
        <is>
          <t>HALLANDS LÄN</t>
        </is>
      </c>
      <c r="G175" t="inlineStr">
        <is>
          <t>KUNGSBACKA</t>
        </is>
      </c>
      <c r="I175" t="n">
        <v>19.2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46252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46252</v>
      </c>
      <c r="F177" t="inlineStr">
        <is>
          <t>HALLANDS LÄN</t>
        </is>
      </c>
      <c r="G177" t="inlineStr">
        <is>
          <t>KUNGSBACKA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46252</v>
      </c>
      <c r="F178" t="inlineStr">
        <is>
          <t>HALLANDS LÄN</t>
        </is>
      </c>
      <c r="G178" t="inlineStr">
        <is>
          <t>KUNGSBACKA</t>
        </is>
      </c>
      <c r="H178" t="inlineStr">
        <is>
          <t>Övriga Aktiebolag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45071</v>
      </c>
      <c r="E179" s="1" t="n">
        <v>46252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10949-2024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45370</v>
      </c>
      <c r="E180" s="1" t="n">
        <v>46252</v>
      </c>
      <c r="F180" t="inlineStr">
        <is>
          <t>HALLANDS LÄN</t>
        </is>
      </c>
      <c r="G180" t="inlineStr">
        <is>
          <t>KUNGSBACKA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46252</v>
      </c>
      <c r="F181" t="inlineStr">
        <is>
          <t>HALLANDS LÄN</t>
        </is>
      </c>
      <c r="G181" t="inlineStr">
        <is>
          <t>KUNGSBACKA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46252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46252</v>
      </c>
      <c r="F183" t="inlineStr">
        <is>
          <t>HALLANDS LÄN</t>
        </is>
      </c>
      <c r="G183" t="inlineStr">
        <is>
          <t>KUNGSBACKA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46252</v>
      </c>
      <c r="F184" t="inlineStr">
        <is>
          <t>HALLANDS LÄN</t>
        </is>
      </c>
      <c r="G184" t="inlineStr">
        <is>
          <t>KUNGSBACKA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46252</v>
      </c>
      <c r="F185" t="inlineStr">
        <is>
          <t>HALLANDS LÄN</t>
        </is>
      </c>
      <c r="G185" t="inlineStr">
        <is>
          <t>KUNGSBACKA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46252</v>
      </c>
      <c r="F186" t="inlineStr">
        <is>
          <t>HALLANDS LÄN</t>
        </is>
      </c>
      <c r="G186" t="inlineStr">
        <is>
          <t>KUNGSBACKA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46252</v>
      </c>
      <c r="F187" t="inlineStr">
        <is>
          <t>HALLANDS LÄN</t>
        </is>
      </c>
      <c r="G187" t="inlineStr">
        <is>
          <t>KUNGSBACKA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46252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46252</v>
      </c>
      <c r="F189" t="inlineStr">
        <is>
          <t>HALLANDS LÄN</t>
        </is>
      </c>
      <c r="G189" t="inlineStr">
        <is>
          <t>KUNGSBACKA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46252</v>
      </c>
      <c r="F190" t="inlineStr">
        <is>
          <t>HALLANDS LÄN</t>
        </is>
      </c>
      <c r="G190" t="inlineStr">
        <is>
          <t>KUNGSBACKA</t>
        </is>
      </c>
      <c r="H190" t="inlineStr">
        <is>
          <t>Övriga Aktiebolag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46252</v>
      </c>
      <c r="F191" t="inlineStr">
        <is>
          <t>HALLANDS LÄN</t>
        </is>
      </c>
      <c r="G191" t="inlineStr">
        <is>
          <t>KUNGSBACKA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45436</v>
      </c>
      <c r="E192" s="1" t="n">
        <v>46252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46027</v>
      </c>
      <c r="E193" s="1" t="n">
        <v>46252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46252</v>
      </c>
      <c r="F194" t="inlineStr">
        <is>
          <t>HALLANDS LÄN</t>
        </is>
      </c>
      <c r="G194" t="inlineStr">
        <is>
          <t>KUNGSBACKA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10124-2025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45719</v>
      </c>
      <c r="E195" s="1" t="n">
        <v>46252</v>
      </c>
      <c r="F195" t="inlineStr">
        <is>
          <t>HALLANDS LÄN</t>
        </is>
      </c>
      <c r="G195" t="inlineStr">
        <is>
          <t>KUNGSBACKA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10140-2025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45719</v>
      </c>
      <c r="E196" s="1" t="n">
        <v>46252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46252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46252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46252</v>
      </c>
      <c r="F199" t="inlineStr">
        <is>
          <t>HALLANDS LÄN</t>
        </is>
      </c>
      <c r="G199" t="inlineStr">
        <is>
          <t>KUNGSBACKA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46252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46252</v>
      </c>
      <c r="F201" t="inlineStr">
        <is>
          <t>HALLANDS LÄN</t>
        </is>
      </c>
      <c r="G201" t="inlineStr">
        <is>
          <t>KUNGSBACKA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46252</v>
      </c>
      <c r="F202" t="inlineStr">
        <is>
          <t>HALLANDS LÄN</t>
        </is>
      </c>
      <c r="G202" t="inlineStr">
        <is>
          <t>KUNGSBACKA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45638</v>
      </c>
      <c r="E203" s="1" t="n">
        <v>46252</v>
      </c>
      <c r="F203" t="inlineStr">
        <is>
          <t>HALLANDS LÄN</t>
        </is>
      </c>
      <c r="G203" t="inlineStr">
        <is>
          <t>KUNGSBACKA</t>
        </is>
      </c>
      <c r="I203" t="n">
        <v>19.2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46252</v>
      </c>
      <c r="F204" t="inlineStr">
        <is>
          <t>HALLANDS LÄN</t>
        </is>
      </c>
      <c r="G204" t="inlineStr">
        <is>
          <t>KUNGSBACKA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45525</v>
      </c>
      <c r="E205" s="1" t="n">
        <v>46252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57056-2022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46252</v>
      </c>
      <c r="F206" t="inlineStr">
        <is>
          <t>HALLANDS LÄN</t>
        </is>
      </c>
      <c r="G206" t="inlineStr">
        <is>
          <t>KUNGSBACKA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44767</v>
      </c>
      <c r="E207" s="1" t="n">
        <v>46252</v>
      </c>
      <c r="F207" t="inlineStr">
        <is>
          <t>HALLANDS LÄN</t>
        </is>
      </c>
      <c r="G207" t="inlineStr">
        <is>
          <t>KUNGSBACKA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46252</v>
      </c>
      <c r="F208" t="inlineStr">
        <is>
          <t>HALLANDS LÄN</t>
        </is>
      </c>
      <c r="G208" t="inlineStr">
        <is>
          <t>KUNGSBACKA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46252</v>
      </c>
      <c r="F209" t="inlineStr">
        <is>
          <t>HALLANDS LÄN</t>
        </is>
      </c>
      <c r="G209" t="inlineStr">
        <is>
          <t>KUNGSBACKA</t>
        </is>
      </c>
      <c r="H209" t="inlineStr">
        <is>
          <t>Övriga Aktiebolag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45504</v>
      </c>
      <c r="E210" s="1" t="n">
        <v>46252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46252</v>
      </c>
      <c r="F211" t="inlineStr">
        <is>
          <t>HALLANDS LÄN</t>
        </is>
      </c>
      <c r="G211" t="inlineStr">
        <is>
          <t>KUNGSBACKA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45560</v>
      </c>
      <c r="E212" s="1" t="n">
        <v>46252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46252</v>
      </c>
      <c r="F213" t="inlineStr">
        <is>
          <t>HALLANDS LÄN</t>
        </is>
      </c>
      <c r="G213" t="inlineStr">
        <is>
          <t>KUNGSBACKA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44789</v>
      </c>
      <c r="E214" s="1" t="n">
        <v>46252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46252</v>
      </c>
      <c r="F215" t="inlineStr">
        <is>
          <t>HALLANDS LÄN</t>
        </is>
      </c>
      <c r="G215" t="inlineStr">
        <is>
          <t>KUNGSBACKA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45131</v>
      </c>
      <c r="E216" s="1" t="n">
        <v>46252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45131</v>
      </c>
      <c r="E217" s="1" t="n">
        <v>46252</v>
      </c>
      <c r="F217" t="inlineStr">
        <is>
          <t>HALLANDS LÄN</t>
        </is>
      </c>
      <c r="G217" t="inlineStr">
        <is>
          <t>KUNGSBACKA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46054</v>
      </c>
      <c r="E218" s="1" t="n">
        <v>46252</v>
      </c>
      <c r="F218" t="inlineStr">
        <is>
          <t>HALLANDS LÄN</t>
        </is>
      </c>
      <c r="G218" t="inlineStr">
        <is>
          <t>KUNGSBACKA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46054</v>
      </c>
      <c r="E219" s="1" t="n">
        <v>46252</v>
      </c>
      <c r="F219" t="inlineStr">
        <is>
          <t>HALLANDS LÄN</t>
        </is>
      </c>
      <c r="G219" t="inlineStr">
        <is>
          <t>KUNGSBACKA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46054</v>
      </c>
      <c r="E220" s="1" t="n">
        <v>46252</v>
      </c>
      <c r="F220" t="inlineStr">
        <is>
          <t>HALLANDS LÄN</t>
        </is>
      </c>
      <c r="G220" t="inlineStr">
        <is>
          <t>KUNGSBACKA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46252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46252</v>
      </c>
      <c r="F222" t="inlineStr">
        <is>
          <t>HALLANDS LÄN</t>
        </is>
      </c>
      <c r="G222" t="inlineStr">
        <is>
          <t>KUNGSBACKA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46252</v>
      </c>
      <c r="F223" t="inlineStr">
        <is>
          <t>HALLANDS LÄN</t>
        </is>
      </c>
      <c r="G223" t="inlineStr">
        <is>
          <t>KUNGSBACKA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46252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26733-2026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46184</v>
      </c>
      <c r="E225" s="1" t="n">
        <v>46252</v>
      </c>
      <c r="F225" t="inlineStr">
        <is>
          <t>HALLANDS LÄN</t>
        </is>
      </c>
      <c r="G225" t="inlineStr">
        <is>
          <t>KUNGSBACKA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46252</v>
      </c>
      <c r="F226" t="inlineStr">
        <is>
          <t>HALLANDS LÄN</t>
        </is>
      </c>
      <c r="G226" t="inlineStr">
        <is>
          <t>KUNGSBACKA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46252</v>
      </c>
      <c r="F227" t="inlineStr">
        <is>
          <t>HALLANDS LÄN</t>
        </is>
      </c>
      <c r="G227" t="inlineStr">
        <is>
          <t>KUNGSBACKA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46252</v>
      </c>
      <c r="F228" t="inlineStr">
        <is>
          <t>HALLANDS LÄN</t>
        </is>
      </c>
      <c r="G228" t="inlineStr">
        <is>
          <t>KUNGSBACKA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10137-2025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45719</v>
      </c>
      <c r="E229" s="1" t="n">
        <v>46252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46252</v>
      </c>
      <c r="F230" t="inlineStr">
        <is>
          <t>HALLANDS LÄN</t>
        </is>
      </c>
      <c r="G230" t="inlineStr">
        <is>
          <t>KUNGSBACKA</t>
        </is>
      </c>
      <c r="H230" t="inlineStr">
        <is>
          <t>Kommuner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46077</v>
      </c>
      <c r="E231" s="1" t="n">
        <v>46252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44773</v>
      </c>
      <c r="E232" s="1" t="n">
        <v>46252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46252</v>
      </c>
      <c r="F233" t="inlineStr">
        <is>
          <t>HALLANDS LÄN</t>
        </is>
      </c>
      <c r="G233" t="inlineStr">
        <is>
          <t>KUNGSBACKA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10751-2026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46078</v>
      </c>
      <c r="E234" s="1" t="n">
        <v>46252</v>
      </c>
      <c r="F234" t="inlineStr">
        <is>
          <t>HALLANDS LÄN</t>
        </is>
      </c>
      <c r="G234" t="inlineStr">
        <is>
          <t>KUNGSBACKA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46078</v>
      </c>
      <c r="E235" s="1" t="n">
        <v>46252</v>
      </c>
      <c r="F235" t="inlineStr">
        <is>
          <t>HALLANDS LÄN</t>
        </is>
      </c>
      <c r="G235" t="inlineStr">
        <is>
          <t>KUNGSBACKA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46086</v>
      </c>
      <c r="E236" s="1" t="n">
        <v>46252</v>
      </c>
      <c r="F236" t="inlineStr">
        <is>
          <t>HALLANDS LÄN</t>
        </is>
      </c>
      <c r="G236" t="inlineStr">
        <is>
          <t>KUNGSBACKA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46252</v>
      </c>
      <c r="F237" t="inlineStr">
        <is>
          <t>HALLANDS LÄN</t>
        </is>
      </c>
      <c r="G237" t="inlineStr">
        <is>
          <t>KUNGSBACKA</t>
        </is>
      </c>
      <c r="H237" t="inlineStr">
        <is>
          <t>Kommuner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45756</v>
      </c>
      <c r="E238" s="1" t="n">
        <v>46252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45461</v>
      </c>
      <c r="E239" s="1" t="n">
        <v>46252</v>
      </c>
      <c r="F239" t="inlineStr">
        <is>
          <t>HALLANDS LÄN</t>
        </is>
      </c>
      <c r="G239" t="inlineStr">
        <is>
          <t>KUNGSBACKA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46252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45653</v>
      </c>
      <c r="E241" s="1" t="n">
        <v>46252</v>
      </c>
      <c r="F241" t="inlineStr">
        <is>
          <t>HALLANDS LÄN</t>
        </is>
      </c>
      <c r="G241" t="inlineStr">
        <is>
          <t>KUNGSBACKA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45653</v>
      </c>
      <c r="E242" s="1" t="n">
        <v>46252</v>
      </c>
      <c r="F242" t="inlineStr">
        <is>
          <t>HALLANDS LÄN</t>
        </is>
      </c>
      <c r="G242" t="inlineStr">
        <is>
          <t>KUNGSBACKA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46232</v>
      </c>
      <c r="E243" s="1" t="n">
        <v>46252</v>
      </c>
      <c r="F243" t="inlineStr">
        <is>
          <t>HALLANDS LÄN</t>
        </is>
      </c>
      <c r="G243" t="inlineStr">
        <is>
          <t>KUNGSBACKA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45008</v>
      </c>
      <c r="E244" s="1" t="n">
        <v>46252</v>
      </c>
      <c r="F244" t="inlineStr">
        <is>
          <t>HALLANDS LÄN</t>
        </is>
      </c>
      <c r="G244" t="inlineStr">
        <is>
          <t>KUNGSBACKA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46252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46252</v>
      </c>
      <c r="F246" t="inlineStr">
        <is>
          <t>HALLANDS LÄN</t>
        </is>
      </c>
      <c r="G246" t="inlineStr">
        <is>
          <t>KUNGSBACKA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46252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46252</v>
      </c>
      <c r="F248" t="inlineStr">
        <is>
          <t>HALLANDS LÄN</t>
        </is>
      </c>
      <c r="G248" t="inlineStr">
        <is>
          <t>KUNGSBACKA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18077-2026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46125</v>
      </c>
      <c r="E249" s="1" t="n">
        <v>46252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18057-2022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44684</v>
      </c>
      <c r="E250" s="1" t="n">
        <v>46252</v>
      </c>
      <c r="F250" t="inlineStr">
        <is>
          <t>HALLANDS LÄN</t>
        </is>
      </c>
      <c r="G250" t="inlineStr">
        <is>
          <t>KUNGSBACKA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45587</v>
      </c>
      <c r="E251" s="1" t="n">
        <v>46252</v>
      </c>
      <c r="F251" t="inlineStr">
        <is>
          <t>HALLANDS LÄN</t>
        </is>
      </c>
      <c r="G251" t="inlineStr">
        <is>
          <t>KUNGSBACKA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46252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52909-2021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46252</v>
      </c>
      <c r="F253" t="inlineStr">
        <is>
          <t>HALLANDS LÄN</t>
        </is>
      </c>
      <c r="G253" t="inlineStr">
        <is>
          <t>KUNGSBACKA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46252</v>
      </c>
      <c r="F254" t="inlineStr">
        <is>
          <t>HALLANDS LÄN</t>
        </is>
      </c>
      <c r="G254" t="inlineStr">
        <is>
          <t>KUNGSBACKA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46252</v>
      </c>
      <c r="F255" t="inlineStr">
        <is>
          <t>HALLANDS LÄN</t>
        </is>
      </c>
      <c r="G255" t="inlineStr">
        <is>
          <t>KUNGSBACKA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44997</v>
      </c>
      <c r="E256" s="1" t="n">
        <v>46252</v>
      </c>
      <c r="F256" t="inlineStr">
        <is>
          <t>HALLANDS LÄN</t>
        </is>
      </c>
      <c r="G256" t="inlineStr">
        <is>
          <t>KUNGSBACKA</t>
        </is>
      </c>
      <c r="I256" t="n">
        <v>10.5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45801</v>
      </c>
      <c r="E257" s="1" t="n">
        <v>46252</v>
      </c>
      <c r="F257" t="inlineStr">
        <is>
          <t>HALLANDS LÄN</t>
        </is>
      </c>
      <c r="G257" t="inlineStr">
        <is>
          <t>KUNGSBACKA</t>
        </is>
      </c>
      <c r="I257" t="n">
        <v>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46252</v>
      </c>
      <c r="F258" t="inlineStr">
        <is>
          <t>HALLANDS LÄN</t>
        </is>
      </c>
      <c r="G258" t="inlineStr">
        <is>
          <t>KUNGSBACKA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48486-2025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46252</v>
      </c>
      <c r="F259" t="inlineStr">
        <is>
          <t>HALLANDS LÄN</t>
        </is>
      </c>
      <c r="G259" t="inlineStr">
        <is>
          <t>KUNGSBACKA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45504</v>
      </c>
      <c r="E260" s="1" t="n">
        <v>46252</v>
      </c>
      <c r="F260" t="inlineStr">
        <is>
          <t>HALLANDS LÄN</t>
        </is>
      </c>
      <c r="G260" t="inlineStr">
        <is>
          <t>KUNGSBACKA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46252</v>
      </c>
      <c r="F261" t="inlineStr">
        <is>
          <t>HALLANDS LÄN</t>
        </is>
      </c>
      <c r="G261" t="inlineStr">
        <is>
          <t>KUNGSBACKA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45867</v>
      </c>
      <c r="E262" s="1" t="n">
        <v>46252</v>
      </c>
      <c r="F262" t="inlineStr">
        <is>
          <t>HALLANDS LÄN</t>
        </is>
      </c>
      <c r="G262" t="inlineStr">
        <is>
          <t>KUNGSBACKA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46252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45510</v>
      </c>
      <c r="E264" s="1" t="n">
        <v>46252</v>
      </c>
      <c r="F264" t="inlineStr">
        <is>
          <t>HALLANDS LÄN</t>
        </is>
      </c>
      <c r="G264" t="inlineStr">
        <is>
          <t>KUNGSBACKA</t>
        </is>
      </c>
      <c r="H264" t="inlineStr">
        <is>
          <t>Kyrkan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46252</v>
      </c>
      <c r="F265" t="inlineStr">
        <is>
          <t>HALLANDS LÄN</t>
        </is>
      </c>
      <c r="G265" t="inlineStr">
        <is>
          <t>KUNGSBACKA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46252</v>
      </c>
      <c r="F266" t="inlineStr">
        <is>
          <t>HALLANDS LÄN</t>
        </is>
      </c>
      <c r="G266" t="inlineStr">
        <is>
          <t>KUNGSBACKA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48754-2023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45208</v>
      </c>
      <c r="E267" s="1" t="n">
        <v>46252</v>
      </c>
      <c r="F267" t="inlineStr">
        <is>
          <t>HALLANDS LÄN</t>
        </is>
      </c>
      <c r="G267" t="inlineStr">
        <is>
          <t>KUNGSBACKA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53378-2021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44468</v>
      </c>
      <c r="E268" s="1" t="n">
        <v>46252</v>
      </c>
      <c r="F268" t="inlineStr">
        <is>
          <t>HALLANDS LÄN</t>
        </is>
      </c>
      <c r="G268" t="inlineStr">
        <is>
          <t>KUNGSBACKA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46252</v>
      </c>
      <c r="F269" t="inlineStr">
        <is>
          <t>HALLANDS LÄN</t>
        </is>
      </c>
      <c r="G269" t="inlineStr">
        <is>
          <t>KUNGSBACKA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46252</v>
      </c>
      <c r="F270" t="inlineStr">
        <is>
          <t>HALLANDS LÄN</t>
        </is>
      </c>
      <c r="G270" t="inlineStr">
        <is>
          <t>KUNGSBACKA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45699</v>
      </c>
      <c r="E271" s="1" t="n">
        <v>46252</v>
      </c>
      <c r="F271" t="inlineStr">
        <is>
          <t>HALLANDS LÄN</t>
        </is>
      </c>
      <c r="G271" t="inlineStr">
        <is>
          <t>KUNGSBACKA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46252</v>
      </c>
      <c r="F272" t="inlineStr">
        <is>
          <t>HALLANDS LÄN</t>
        </is>
      </c>
      <c r="G272" t="inlineStr">
        <is>
          <t>KUNGSBACKA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46252</v>
      </c>
      <c r="F273" t="inlineStr">
        <is>
          <t>HALLANDS LÄN</t>
        </is>
      </c>
      <c r="G273" t="inlineStr">
        <is>
          <t>KUNGSBACKA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46252</v>
      </c>
      <c r="F274" t="inlineStr">
        <is>
          <t>HALLANDS LÄN</t>
        </is>
      </c>
      <c r="G274" t="inlineStr">
        <is>
          <t>KUNGSBACKA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51332-2022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46252</v>
      </c>
      <c r="F275" t="inlineStr">
        <is>
          <t>HALLANDS LÄN</t>
        </is>
      </c>
      <c r="G275" t="inlineStr">
        <is>
          <t>KUNGSBACKA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45691</v>
      </c>
      <c r="E276" s="1" t="n">
        <v>46252</v>
      </c>
      <c r="F276" t="inlineStr">
        <is>
          <t>HALLANDS LÄN</t>
        </is>
      </c>
      <c r="G276" t="inlineStr">
        <is>
          <t>KUNGSBACKA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65199-2023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45288</v>
      </c>
      <c r="E277" s="1" t="n">
        <v>46252</v>
      </c>
      <c r="F277" t="inlineStr">
        <is>
          <t>HALLANDS LÄN</t>
        </is>
      </c>
      <c r="G277" t="inlineStr">
        <is>
          <t>KUNGSBACKA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46252</v>
      </c>
      <c r="F278" t="inlineStr">
        <is>
          <t>HALLANDS LÄN</t>
        </is>
      </c>
      <c r="G278" t="inlineStr">
        <is>
          <t>KUNGSBACKA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44777</v>
      </c>
      <c r="E279" s="1" t="n">
        <v>46252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46252</v>
      </c>
      <c r="F280" t="inlineStr">
        <is>
          <t>HALLANDS LÄN</t>
        </is>
      </c>
      <c r="G280" t="inlineStr">
        <is>
          <t>KUNGSBACKA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46252</v>
      </c>
      <c r="F281" t="inlineStr">
        <is>
          <t>HALLANDS LÄN</t>
        </is>
      </c>
      <c r="G281" t="inlineStr">
        <is>
          <t>KUNGSBACKA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42412-2022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46252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45728</v>
      </c>
      <c r="E283" s="1" t="n">
        <v>46252</v>
      </c>
      <c r="F283" t="inlineStr">
        <is>
          <t>HALLANDS LÄN</t>
        </is>
      </c>
      <c r="G283" t="inlineStr">
        <is>
          <t>KUNGSBACKA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46252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46252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46252</v>
      </c>
      <c r="F286" t="inlineStr">
        <is>
          <t>HALLANDS LÄN</t>
        </is>
      </c>
      <c r="G286" t="inlineStr">
        <is>
          <t>KUNGSBACKA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46252</v>
      </c>
      <c r="F287" t="inlineStr">
        <is>
          <t>HALLANDS LÄN</t>
        </is>
      </c>
      <c r="G287" t="inlineStr">
        <is>
          <t>KUNGSBACKA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45744</v>
      </c>
      <c r="E288" s="1" t="n">
        <v>46252</v>
      </c>
      <c r="F288" t="inlineStr">
        <is>
          <t>HALLANDS LÄN</t>
        </is>
      </c>
      <c r="G288" t="inlineStr">
        <is>
          <t>KUNGSBACKA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46252</v>
      </c>
      <c r="F289" t="inlineStr">
        <is>
          <t>HALLANDS LÄN</t>
        </is>
      </c>
      <c r="G289" t="inlineStr">
        <is>
          <t>KUNGSBACKA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19502-2022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46252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44925</v>
      </c>
      <c r="E291" s="1" t="n">
        <v>46252</v>
      </c>
      <c r="F291" t="inlineStr">
        <is>
          <t>HALLANDS LÄN</t>
        </is>
      </c>
      <c r="G291" t="inlineStr">
        <is>
          <t>KUNGSBACKA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46252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44999</v>
      </c>
      <c r="E293" s="1" t="n">
        <v>46252</v>
      </c>
      <c r="F293" t="inlineStr">
        <is>
          <t>HALLANDS LÄN</t>
        </is>
      </c>
      <c r="G293" t="inlineStr">
        <is>
          <t>KUNGSBACKA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46252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45777</v>
      </c>
      <c r="E295" s="1" t="n">
        <v>46252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46252</v>
      </c>
      <c r="F296" t="inlineStr">
        <is>
          <t>HALLANDS LÄN</t>
        </is>
      </c>
      <c r="G296" t="inlineStr">
        <is>
          <t>KUNGSBACKA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45776</v>
      </c>
      <c r="E297" s="1" t="n">
        <v>46252</v>
      </c>
      <c r="F297" t="inlineStr">
        <is>
          <t>HALLANDS LÄN</t>
        </is>
      </c>
      <c r="G297" t="inlineStr">
        <is>
          <t>KUNGSBACKA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46252</v>
      </c>
      <c r="F298" t="inlineStr">
        <is>
          <t>HALLANDS LÄN</t>
        </is>
      </c>
      <c r="G298" t="inlineStr">
        <is>
          <t>KUNGSBACKA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44674-2025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45917</v>
      </c>
      <c r="E299" s="1" t="n">
        <v>46252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46252</v>
      </c>
      <c r="F300" t="inlineStr">
        <is>
          <t>HALLANDS LÄN</t>
        </is>
      </c>
      <c r="G300" t="inlineStr">
        <is>
          <t>KUNGSBACKA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45792</v>
      </c>
      <c r="E301" s="1" t="n">
        <v>46252</v>
      </c>
      <c r="F301" t="inlineStr">
        <is>
          <t>HALLANDS LÄN</t>
        </is>
      </c>
      <c r="G301" t="inlineStr">
        <is>
          <t>KUNGSBACKA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46252</v>
      </c>
      <c r="F302" t="inlineStr">
        <is>
          <t>HALLANDS LÄN</t>
        </is>
      </c>
      <c r="G302" t="inlineStr">
        <is>
          <t>KUNGSBACKA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37995-2025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45881</v>
      </c>
      <c r="E303" s="1" t="n">
        <v>46252</v>
      </c>
      <c r="F303" t="inlineStr">
        <is>
          <t>HALLANDS LÄN</t>
        </is>
      </c>
      <c r="G303" t="inlineStr">
        <is>
          <t>KUNGSBACKA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46252</v>
      </c>
      <c r="F304" t="inlineStr">
        <is>
          <t>HALLANDS LÄN</t>
        </is>
      </c>
      <c r="G304" t="inlineStr">
        <is>
          <t>KUNGSBACKA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46252</v>
      </c>
      <c r="F305" t="inlineStr">
        <is>
          <t>HALLANDS LÄN</t>
        </is>
      </c>
      <c r="G305" t="inlineStr">
        <is>
          <t>KUNGSBACKA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46252</v>
      </c>
      <c r="F306" t="inlineStr">
        <is>
          <t>HALLANDS LÄN</t>
        </is>
      </c>
      <c r="G306" t="inlineStr">
        <is>
          <t>KUNGSBACKA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25337-2026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46176</v>
      </c>
      <c r="E307" s="1" t="n">
        <v>46252</v>
      </c>
      <c r="F307" t="inlineStr">
        <is>
          <t>HALLANDS LÄN</t>
        </is>
      </c>
      <c r="G307" t="inlineStr">
        <is>
          <t>KUNGSBACKA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46252</v>
      </c>
      <c r="F308" t="inlineStr">
        <is>
          <t>HALLANDS LÄN</t>
        </is>
      </c>
      <c r="G308" t="inlineStr">
        <is>
          <t>KUNGSBACKA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46252</v>
      </c>
      <c r="F309" t="inlineStr">
        <is>
          <t>HALLANDS LÄN</t>
        </is>
      </c>
      <c r="G309" t="inlineStr">
        <is>
          <t>KUNGSBACKA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46176</v>
      </c>
      <c r="E310" s="1" t="n">
        <v>46252</v>
      </c>
      <c r="F310" t="inlineStr">
        <is>
          <t>HALLANDS LÄN</t>
        </is>
      </c>
      <c r="G310" t="inlineStr">
        <is>
          <t>KUNGSBACKA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25351-2026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46176</v>
      </c>
      <c r="E311" s="1" t="n">
        <v>46252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59-2025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45667</v>
      </c>
      <c r="E312" s="1" t="n">
        <v>46252</v>
      </c>
      <c r="F312" t="inlineStr">
        <is>
          <t>HALLANDS LÄN</t>
        </is>
      </c>
      <c r="G312" t="inlineStr">
        <is>
          <t>KUNGSBACKA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2026-08-18T01:47:34Z</dcterms:created>
  <dcterms:modified xmlns:dcterms="http://purl.org/dc/terms/" xmlns:xsi="http://www.w3.org/2001/XMLSchema-instance" xsi:type="dcterms:W3CDTF">2026-08-18T01:47:34Z</dcterms:modified>
</cp:coreProperties>
</file>