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46316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46316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46316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46316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46316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46316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46316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46316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46316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46316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46316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46316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46316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46316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46316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46316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46316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7718-2025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46316</v>
      </c>
      <c r="F24" t="inlineStr">
        <is>
          <t>HALLANDS LÄN</t>
        </is>
      </c>
      <c r="G24" t="inlineStr">
        <is>
          <t>KUNGSBACKA</t>
        </is>
      </c>
      <c r="I24" t="n">
        <v>0.7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Gulsparv</t>
        </is>
      </c>
      <c r="W24">
        <f>HYPERLINK("https://klasma.github.io/Logging_1384/artfynd/A 7718-2025 artfynd.xlsx", "A 7718-2025")</f>
        <v/>
      </c>
      <c r="X24">
        <f>HYPERLINK("https://klasma.github.io/Logging_1384/kartor/A 7718-2025 karta.png", "A 7718-2025")</f>
        <v/>
      </c>
      <c r="Y24">
        <f>HYPERLINK("https://klasma.github.io/Logging_1384/kartor_geotiff/A 7718-2025 georefererad karta.tif", "A 7718-2025")</f>
        <v/>
      </c>
      <c r="AA24">
        <f>HYPERLINK("https://klasma.github.io/Logging_1384/klagomål/A 7718-2025 FSC-klagomål.docx", "A 7718-2025")</f>
        <v/>
      </c>
      <c r="AB24">
        <f>HYPERLINK("https://klasma.github.io/Logging_1384/klagomålsmail/A 7718-2025 FSC-klagomål mail.docx", "A 7718-2025")</f>
        <v/>
      </c>
      <c r="AC24">
        <f>HYPERLINK("https://klasma.github.io/Logging_1384/tillsyn/A 7718-2025 tillsynsbegäran.docx", "A 7718-2025")</f>
        <v/>
      </c>
      <c r="AD24">
        <f>HYPERLINK("https://klasma.github.io/Logging_1384/tillsynsmail/A 7718-2025 tillsynsbegäran mail.docx", "A 7718-2025")</f>
        <v/>
      </c>
      <c r="AE24">
        <f>HYPERLINK("https://klasma.github.io/Logging_1384/fåglar/A 7718-2025 prioriterade fågelarter.docx", "A 7718-2025")</f>
        <v/>
      </c>
    </row>
    <row r="25" ht="15" customHeight="1">
      <c r="A25" t="inlineStr">
        <is>
          <t>A 11154-2022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44629</v>
      </c>
      <c r="E25" s="1" t="n">
        <v>46316</v>
      </c>
      <c r="F25" t="inlineStr">
        <is>
          <t>HALLANDS LÄN</t>
        </is>
      </c>
      <c r="G25" t="inlineStr">
        <is>
          <t>KUNGSBACKA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HYPERLINK("https://klasma.github.io/Logging_1384/artfynd/A 11154-2022 artfynd.xlsx", "A 11154-2022")</f>
        <v/>
      </c>
      <c r="X25">
        <f>HYPERLINK("https://klasma.github.io/Logging_1384/kartor/A 11154-2022 karta.png", "A 11154-2022")</f>
        <v/>
      </c>
      <c r="Y25">
        <f>HYPERLINK("https://klasma.github.io/Logging_1384/kartor_geotiff/A 11154-2022 georefererad karta.tif", "A 11154-2022")</f>
        <v/>
      </c>
      <c r="AA25">
        <f>HYPERLINK("https://klasma.github.io/Logging_1384/klagomål/A 11154-2022 FSC-klagomål.docx", "A 11154-2022")</f>
        <v/>
      </c>
      <c r="AB25">
        <f>HYPERLINK("https://klasma.github.io/Logging_1384/klagomålsmail/A 11154-2022 FSC-klagomål mail.docx", "A 11154-2022")</f>
        <v/>
      </c>
      <c r="AC25">
        <f>HYPERLINK("https://klasma.github.io/Logging_1384/tillsyn/A 11154-2022 tillsynsbegäran.docx", "A 11154-2022")</f>
        <v/>
      </c>
      <c r="AD25">
        <f>HYPERLINK("https://klasma.github.io/Logging_1384/tillsynsmail/A 11154-2022 tillsynsbegäran mail.docx", "A 11154-2022")</f>
        <v/>
      </c>
      <c r="AE25">
        <f>HYPERLINK("https://klasma.github.io/Logging_1384/fåglar/A 11154-2022 prioriterade fågelarter.docx", "A 11154-2022")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46316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46316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46316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46316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46316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46316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46316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46316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46316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46316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46316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46316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46316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46316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64363-2023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45280</v>
      </c>
      <c r="E44" s="1" t="n">
        <v>46316</v>
      </c>
      <c r="F44" t="inlineStr">
        <is>
          <t>HALLANDS LÄN</t>
        </is>
      </c>
      <c r="G44" t="inlineStr">
        <is>
          <t>KUNGSBACKA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46316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46316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9965-2025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45719</v>
      </c>
      <c r="E47" s="1" t="n">
        <v>46316</v>
      </c>
      <c r="F47" t="inlineStr">
        <is>
          <t>HALLANDS LÄN</t>
        </is>
      </c>
      <c r="G47" t="inlineStr">
        <is>
          <t>KUNGSBACKA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9976-2025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45719</v>
      </c>
      <c r="E48" s="1" t="n">
        <v>46316</v>
      </c>
      <c r="F48" t="inlineStr">
        <is>
          <t>HALLANDS LÄN</t>
        </is>
      </c>
      <c r="G48" t="inlineStr">
        <is>
          <t>KUNGSBACKA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46316</v>
      </c>
      <c r="F49" t="inlineStr">
        <is>
          <t>HALLANDS LÄN</t>
        </is>
      </c>
      <c r="G49" t="inlineStr">
        <is>
          <t>KUNGSBACKA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46316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46316</v>
      </c>
      <c r="F51" t="inlineStr">
        <is>
          <t>HALLANDS LÄN</t>
        </is>
      </c>
      <c r="G51" t="inlineStr">
        <is>
          <t>KUNGSBACKA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46316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46316</v>
      </c>
      <c r="F53" t="inlineStr">
        <is>
          <t>HALLANDS LÄN</t>
        </is>
      </c>
      <c r="G53" t="inlineStr">
        <is>
          <t>KUNGSBACKA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46316</v>
      </c>
      <c r="F54" t="inlineStr">
        <is>
          <t>HALLANDS LÄN</t>
        </is>
      </c>
      <c r="G54" t="inlineStr">
        <is>
          <t>KUNGSBACKA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46316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46316</v>
      </c>
      <c r="F56" t="inlineStr">
        <is>
          <t>HALLANDS LÄN</t>
        </is>
      </c>
      <c r="G56" t="inlineStr">
        <is>
          <t>KUNGSBACKA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46316</v>
      </c>
      <c r="F57" t="inlineStr">
        <is>
          <t>HALLANDS LÄN</t>
        </is>
      </c>
      <c r="G57" t="inlineStr">
        <is>
          <t>KUNGSBACKA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46316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25269-2025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45800</v>
      </c>
      <c r="E59" s="1" t="n">
        <v>46316</v>
      </c>
      <c r="F59" t="inlineStr">
        <is>
          <t>HALLANDS LÄN</t>
        </is>
      </c>
      <c r="G59" t="inlineStr">
        <is>
          <t>KUNGSBACKA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45888</v>
      </c>
      <c r="E60" s="1" t="n">
        <v>46316</v>
      </c>
      <c r="F60" t="inlineStr">
        <is>
          <t>HALLANDS LÄN</t>
        </is>
      </c>
      <c r="G60" t="inlineStr">
        <is>
          <t>KUNGSBACKA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46316</v>
      </c>
      <c r="F61" t="inlineStr">
        <is>
          <t>HALLANDS LÄN</t>
        </is>
      </c>
      <c r="G61" t="inlineStr">
        <is>
          <t>KUNGSBACKA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45889</v>
      </c>
      <c r="E62" s="1" t="n">
        <v>46316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44925</v>
      </c>
      <c r="E63" s="1" t="n">
        <v>46316</v>
      </c>
      <c r="F63" t="inlineStr">
        <is>
          <t>HALLANDS LÄN</t>
        </is>
      </c>
      <c r="G63" t="inlineStr">
        <is>
          <t>KUNGSBACKA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44925</v>
      </c>
      <c r="E64" s="1" t="n">
        <v>46316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46316</v>
      </c>
      <c r="F65" t="inlineStr">
        <is>
          <t>HALLANDS LÄN</t>
        </is>
      </c>
      <c r="G65" t="inlineStr">
        <is>
          <t>KUNGSBACKA</t>
        </is>
      </c>
      <c r="I65" t="n">
        <v>13.8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45653</v>
      </c>
      <c r="E66" s="1" t="n">
        <v>46316</v>
      </c>
      <c r="F66" t="inlineStr">
        <is>
          <t>HALLANDS LÄN</t>
        </is>
      </c>
      <c r="G66" t="inlineStr">
        <is>
          <t>KUNGSBACKA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46027</v>
      </c>
      <c r="E67" s="1" t="n">
        <v>46316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45776</v>
      </c>
      <c r="E68" s="1" t="n">
        <v>46316</v>
      </c>
      <c r="F68" t="inlineStr">
        <is>
          <t>HALLANDS LÄN</t>
        </is>
      </c>
      <c r="G68" t="inlineStr">
        <is>
          <t>KUNGSBACKA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46316</v>
      </c>
      <c r="F69" t="inlineStr">
        <is>
          <t>HALLANDS LÄN</t>
        </is>
      </c>
      <c r="G69" t="inlineStr">
        <is>
          <t>KUNGSBACKA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46316</v>
      </c>
      <c r="F70" t="inlineStr">
        <is>
          <t>HALLANDS LÄN</t>
        </is>
      </c>
      <c r="G70" t="inlineStr">
        <is>
          <t>KUNGSBACKA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46316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46316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46316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46316</v>
      </c>
      <c r="F74" t="inlineStr">
        <is>
          <t>HALLANDS LÄN</t>
        </is>
      </c>
      <c r="G74" t="inlineStr">
        <is>
          <t>KUNGSBACKA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46316</v>
      </c>
      <c r="F75" t="inlineStr">
        <is>
          <t>HALLANDS LÄN</t>
        </is>
      </c>
      <c r="G75" t="inlineStr">
        <is>
          <t>KUNGSBACKA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46316</v>
      </c>
      <c r="F76" t="inlineStr">
        <is>
          <t>HALLANDS LÄN</t>
        </is>
      </c>
      <c r="G76" t="inlineStr">
        <is>
          <t>KUNGSBACKA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46316</v>
      </c>
      <c r="F77" t="inlineStr">
        <is>
          <t>HALLANDS LÄN</t>
        </is>
      </c>
      <c r="G77" t="inlineStr">
        <is>
          <t>KUNGSBACKA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59623-2024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45638</v>
      </c>
      <c r="E78" s="1" t="n">
        <v>46316</v>
      </c>
      <c r="F78" t="inlineStr">
        <is>
          <t>HALLANDS LÄN</t>
        </is>
      </c>
      <c r="G78" t="inlineStr">
        <is>
          <t>KUNGSBACKA</t>
        </is>
      </c>
      <c r="I78" t="n">
        <v>19.2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45659</v>
      </c>
      <c r="E79" s="1" t="n">
        <v>46316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46316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46316</v>
      </c>
      <c r="F81" t="inlineStr">
        <is>
          <t>HALLANDS LÄN</t>
        </is>
      </c>
      <c r="G81" t="inlineStr">
        <is>
          <t>KUNGSBACKA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46316</v>
      </c>
      <c r="F82" t="inlineStr">
        <is>
          <t>HALLANDS LÄN</t>
        </is>
      </c>
      <c r="G82" t="inlineStr">
        <is>
          <t>KUNGSBACKA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46316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46316</v>
      </c>
      <c r="F84" t="inlineStr">
        <is>
          <t>HALLANDS LÄN</t>
        </is>
      </c>
      <c r="G84" t="inlineStr">
        <is>
          <t>KUNGSBACKA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46316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46054</v>
      </c>
      <c r="E86" s="1" t="n">
        <v>46316</v>
      </c>
      <c r="F86" t="inlineStr">
        <is>
          <t>HALLANDS LÄN</t>
        </is>
      </c>
      <c r="G86" t="inlineStr">
        <is>
          <t>KUNGSBACKA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46054</v>
      </c>
      <c r="E87" s="1" t="n">
        <v>46316</v>
      </c>
      <c r="F87" t="inlineStr">
        <is>
          <t>HALLANDS LÄN</t>
        </is>
      </c>
      <c r="G87" t="inlineStr">
        <is>
          <t>KUNGSBACKA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46054</v>
      </c>
      <c r="E88" s="1" t="n">
        <v>46316</v>
      </c>
      <c r="F88" t="inlineStr">
        <is>
          <t>HALLANDS LÄN</t>
        </is>
      </c>
      <c r="G88" t="inlineStr">
        <is>
          <t>KUNGSBACKA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46316</v>
      </c>
      <c r="F89" t="inlineStr">
        <is>
          <t>HALLANDS LÄN</t>
        </is>
      </c>
      <c r="G89" t="inlineStr">
        <is>
          <t>KUNGSBACKA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44613</v>
      </c>
      <c r="E90" s="1" t="n">
        <v>46316</v>
      </c>
      <c r="F90" t="inlineStr">
        <is>
          <t>HALLANDS LÄN</t>
        </is>
      </c>
      <c r="G90" t="inlineStr">
        <is>
          <t>KUNGSBACKA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45461</v>
      </c>
      <c r="E91" s="1" t="n">
        <v>46316</v>
      </c>
      <c r="F91" t="inlineStr">
        <is>
          <t>HALLANDS LÄN</t>
        </is>
      </c>
      <c r="G91" t="inlineStr">
        <is>
          <t>KUNGSBACKA</t>
        </is>
      </c>
      <c r="H91" t="inlineStr">
        <is>
          <t>Kommuner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46316</v>
      </c>
      <c r="F92" t="inlineStr">
        <is>
          <t>HALLANDS LÄN</t>
        </is>
      </c>
      <c r="G92" t="inlineStr">
        <is>
          <t>KUNGSBACKA</t>
        </is>
      </c>
      <c r="I92" t="n">
        <v>15.2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46316</v>
      </c>
      <c r="F93" t="inlineStr">
        <is>
          <t>HALLANDS LÄN</t>
        </is>
      </c>
      <c r="G93" t="inlineStr">
        <is>
          <t>KUNGSBACKA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8743-2026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46316</v>
      </c>
      <c r="F94" t="inlineStr">
        <is>
          <t>HALLANDS LÄN</t>
        </is>
      </c>
      <c r="G94" t="inlineStr">
        <is>
          <t>KUNGSBACKA</t>
        </is>
      </c>
      <c r="H94" t="inlineStr">
        <is>
          <t>Kommuner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56293-2023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45242</v>
      </c>
      <c r="E95" s="1" t="n">
        <v>46316</v>
      </c>
      <c r="F95" t="inlineStr">
        <is>
          <t>HALLANDS LÄN</t>
        </is>
      </c>
      <c r="G95" t="inlineStr">
        <is>
          <t>KUNGSBACKA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45242</v>
      </c>
      <c r="E96" s="1" t="n">
        <v>46316</v>
      </c>
      <c r="F96" t="inlineStr">
        <is>
          <t>HALLANDS LÄN</t>
        </is>
      </c>
      <c r="G96" t="inlineStr">
        <is>
          <t>KUNGSBACKA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46316</v>
      </c>
      <c r="F97" t="inlineStr">
        <is>
          <t>HALLANDS LÄN</t>
        </is>
      </c>
      <c r="G97" t="inlineStr">
        <is>
          <t>KUNGSBACKA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14898-2023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45014</v>
      </c>
      <c r="E98" s="1" t="n">
        <v>46316</v>
      </c>
      <c r="F98" t="inlineStr">
        <is>
          <t>HALLANDS LÄN</t>
        </is>
      </c>
      <c r="G98" t="inlineStr">
        <is>
          <t>KUNGSBACKA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46316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46316</v>
      </c>
      <c r="F100" t="inlineStr">
        <is>
          <t>HALLANDS LÄN</t>
        </is>
      </c>
      <c r="G100" t="inlineStr">
        <is>
          <t>KUNGSBACKA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46316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46316</v>
      </c>
      <c r="F102" t="inlineStr">
        <is>
          <t>HALLANDS LÄN</t>
        </is>
      </c>
      <c r="G102" t="inlineStr">
        <is>
          <t>KUNGSBACKA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45743</v>
      </c>
      <c r="E103" s="1" t="n">
        <v>46316</v>
      </c>
      <c r="F103" t="inlineStr">
        <is>
          <t>HALLANDS LÄN</t>
        </is>
      </c>
      <c r="G103" t="inlineStr">
        <is>
          <t>KUNGSBACKA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46316</v>
      </c>
      <c r="F104" t="inlineStr">
        <is>
          <t>HALLANDS LÄN</t>
        </is>
      </c>
      <c r="G104" t="inlineStr">
        <is>
          <t>KUNGSBACKA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10949-2024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45370</v>
      </c>
      <c r="E105" s="1" t="n">
        <v>46316</v>
      </c>
      <c r="F105" t="inlineStr">
        <is>
          <t>HALLANDS LÄN</t>
        </is>
      </c>
      <c r="G105" t="inlineStr">
        <is>
          <t>KUNGSBACKA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46316</v>
      </c>
      <c r="F106" t="inlineStr">
        <is>
          <t>HALLANDS LÄN</t>
        </is>
      </c>
      <c r="G106" t="inlineStr">
        <is>
          <t>KUNGSBACKA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46316</v>
      </c>
      <c r="F107" t="inlineStr">
        <is>
          <t>HALLANDS LÄN</t>
        </is>
      </c>
      <c r="G107" t="inlineStr">
        <is>
          <t>KUNGSBACKA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46316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45656</v>
      </c>
      <c r="E109" s="1" t="n">
        <v>46316</v>
      </c>
      <c r="F109" t="inlineStr">
        <is>
          <t>HALLANDS LÄN</t>
        </is>
      </c>
      <c r="G109" t="inlineStr">
        <is>
          <t>KUNGSBACKA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51523-2025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45950</v>
      </c>
      <c r="E110" s="1" t="n">
        <v>46316</v>
      </c>
      <c r="F110" t="inlineStr">
        <is>
          <t>HALLANDS LÄN</t>
        </is>
      </c>
      <c r="G110" t="inlineStr">
        <is>
          <t>KUNGSBACKA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52132-2025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46316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46316</v>
      </c>
      <c r="F112" t="inlineStr">
        <is>
          <t>HALLANDS LÄN</t>
        </is>
      </c>
      <c r="G112" t="inlineStr">
        <is>
          <t>KUNGSBACKA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45071</v>
      </c>
      <c r="E113" s="1" t="n">
        <v>46316</v>
      </c>
      <c r="F113" t="inlineStr">
        <is>
          <t>HALLANDS LÄN</t>
        </is>
      </c>
      <c r="G113" t="inlineStr">
        <is>
          <t>KUNGSBACKA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45968</v>
      </c>
      <c r="E114" s="1" t="n">
        <v>46316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18077-2026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46125</v>
      </c>
      <c r="E115" s="1" t="n">
        <v>46316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44684</v>
      </c>
      <c r="E116" s="1" t="n">
        <v>46316</v>
      </c>
      <c r="F116" t="inlineStr">
        <is>
          <t>HALLANDS LÄN</t>
        </is>
      </c>
      <c r="G116" t="inlineStr">
        <is>
          <t>KUNGSBACKA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45839</v>
      </c>
      <c r="E117" s="1" t="n">
        <v>46316</v>
      </c>
      <c r="F117" t="inlineStr">
        <is>
          <t>HALLANDS LÄN</t>
        </is>
      </c>
      <c r="G117" t="inlineStr">
        <is>
          <t>KUNGSBACKA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46316</v>
      </c>
      <c r="F118" t="inlineStr">
        <is>
          <t>HALLANDS LÄN</t>
        </is>
      </c>
      <c r="G118" t="inlineStr">
        <is>
          <t>KUNGSBACKA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46316</v>
      </c>
      <c r="F119" t="inlineStr">
        <is>
          <t>HALLANDS LÄN</t>
        </is>
      </c>
      <c r="G119" t="inlineStr">
        <is>
          <t>KUNGSBACKA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45801</v>
      </c>
      <c r="E120" s="1" t="n">
        <v>46316</v>
      </c>
      <c r="F120" t="inlineStr">
        <is>
          <t>HALLANDS LÄN</t>
        </is>
      </c>
      <c r="G120" t="inlineStr">
        <is>
          <t>KUNGSBACKA</t>
        </is>
      </c>
      <c r="I120" t="n">
        <v>8.9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46316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46316</v>
      </c>
      <c r="F122" t="inlineStr">
        <is>
          <t>HALLANDS LÄN</t>
        </is>
      </c>
      <c r="G122" t="inlineStr">
        <is>
          <t>KUNGSBACKA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46316</v>
      </c>
      <c r="F123" t="inlineStr">
        <is>
          <t>HALLANDS LÄN</t>
        </is>
      </c>
      <c r="G123" t="inlineStr">
        <is>
          <t>KUNGSBACKA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46316</v>
      </c>
      <c r="F124" t="inlineStr">
        <is>
          <t>HALLANDS LÄN</t>
        </is>
      </c>
      <c r="G124" t="inlineStr">
        <is>
          <t>KUNGSBACKA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46316</v>
      </c>
      <c r="F125" t="inlineStr">
        <is>
          <t>HALLANDS LÄN</t>
        </is>
      </c>
      <c r="G125" t="inlineStr">
        <is>
          <t>KUNGSBACKA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46316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45504</v>
      </c>
      <c r="E127" s="1" t="n">
        <v>46316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34975-2025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45849</v>
      </c>
      <c r="E128" s="1" t="n">
        <v>46316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46316</v>
      </c>
      <c r="F129" t="inlineStr">
        <is>
          <t>HALLANDS LÄN</t>
        </is>
      </c>
      <c r="G129" t="inlineStr">
        <is>
          <t>KUNGSBACKA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46316</v>
      </c>
      <c r="F130" t="inlineStr">
        <is>
          <t>HALLANDS LÄN</t>
        </is>
      </c>
      <c r="G130" t="inlineStr">
        <is>
          <t>KUNGSBACKA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46316</v>
      </c>
      <c r="F131" t="inlineStr">
        <is>
          <t>HALLANDS LÄN</t>
        </is>
      </c>
      <c r="G131" t="inlineStr">
        <is>
          <t>KUNGSBACKA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46316</v>
      </c>
      <c r="F132" t="inlineStr">
        <is>
          <t>HALLANDS LÄN</t>
        </is>
      </c>
      <c r="G132" t="inlineStr">
        <is>
          <t>KUNGSBACKA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46316</v>
      </c>
      <c r="F133" t="inlineStr">
        <is>
          <t>HALLANDS LÄN</t>
        </is>
      </c>
      <c r="G133" t="inlineStr">
        <is>
          <t>KUNGSBACKA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46316</v>
      </c>
      <c r="F134" t="inlineStr">
        <is>
          <t>HALLANDS LÄN</t>
        </is>
      </c>
      <c r="G134" t="inlineStr">
        <is>
          <t>KUNGSBACKA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46316</v>
      </c>
      <c r="F135" t="inlineStr">
        <is>
          <t>HALLANDS LÄN</t>
        </is>
      </c>
      <c r="G135" t="inlineStr">
        <is>
          <t>KUNGSBACKA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45861</v>
      </c>
      <c r="E136" s="1" t="n">
        <v>46316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46316</v>
      </c>
      <c r="F137" t="inlineStr">
        <is>
          <t>HALLANDS LÄN</t>
        </is>
      </c>
      <c r="G137" t="inlineStr">
        <is>
          <t>KUNGSBACKA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33646-2022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44789</v>
      </c>
      <c r="E138" s="1" t="n">
        <v>46316</v>
      </c>
      <c r="F138" t="inlineStr">
        <is>
          <t>HALLANDS LÄN</t>
        </is>
      </c>
      <c r="G138" t="inlineStr">
        <is>
          <t>KUNGSBACKA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44851</v>
      </c>
      <c r="E139" s="1" t="n">
        <v>46316</v>
      </c>
      <c r="F139" t="inlineStr">
        <is>
          <t>HALLANDS LÄN</t>
        </is>
      </c>
      <c r="G139" t="inlineStr">
        <is>
          <t>KUNGSBACKA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46316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46316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46316</v>
      </c>
      <c r="F142" t="inlineStr">
        <is>
          <t>HALLANDS LÄN</t>
        </is>
      </c>
      <c r="G142" t="inlineStr">
        <is>
          <t>KUNGSBACKA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45691</v>
      </c>
      <c r="E143" s="1" t="n">
        <v>46316</v>
      </c>
      <c r="F143" t="inlineStr">
        <is>
          <t>HALLANDS LÄN</t>
        </is>
      </c>
      <c r="G143" t="inlineStr">
        <is>
          <t>KUNGSBACKA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46316</v>
      </c>
      <c r="F144" t="inlineStr">
        <is>
          <t>HALLANDS LÄN</t>
        </is>
      </c>
      <c r="G144" t="inlineStr">
        <is>
          <t>KUNGSBACKA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46316</v>
      </c>
      <c r="F145" t="inlineStr">
        <is>
          <t>HALLANDS LÄN</t>
        </is>
      </c>
      <c r="G145" t="inlineStr">
        <is>
          <t>KUNGSBACKA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46316</v>
      </c>
      <c r="F146" t="inlineStr">
        <is>
          <t>HALLANDS LÄN</t>
        </is>
      </c>
      <c r="G146" t="inlineStr">
        <is>
          <t>KUNGSBACKA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45537</v>
      </c>
      <c r="E147" s="1" t="n">
        <v>46316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46316</v>
      </c>
      <c r="F148" t="inlineStr">
        <is>
          <t>HALLANDS LÄN</t>
        </is>
      </c>
      <c r="G148" t="inlineStr">
        <is>
          <t>KUNGSBACKA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45205</v>
      </c>
      <c r="E149" s="1" t="n">
        <v>46316</v>
      </c>
      <c r="F149" t="inlineStr">
        <is>
          <t>HALLANDS LÄN</t>
        </is>
      </c>
      <c r="G149" t="inlineStr">
        <is>
          <t>KUNGSBACKA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46316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46316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45576</v>
      </c>
      <c r="E152" s="1" t="n">
        <v>46316</v>
      </c>
      <c r="F152" t="inlineStr">
        <is>
          <t>HALLANDS LÄN</t>
        </is>
      </c>
      <c r="G152" t="inlineStr">
        <is>
          <t>KUNGSBACKA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44925</v>
      </c>
      <c r="E153" s="1" t="n">
        <v>46316</v>
      </c>
      <c r="F153" t="inlineStr">
        <is>
          <t>HALLANDS LÄN</t>
        </is>
      </c>
      <c r="G153" t="inlineStr">
        <is>
          <t>KUNGSBACKA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46316</v>
      </c>
      <c r="F154" t="inlineStr">
        <is>
          <t>HALLANDS LÄN</t>
        </is>
      </c>
      <c r="G154" t="inlineStr">
        <is>
          <t>KUNGSBACKA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46316</v>
      </c>
      <c r="F155" t="inlineStr">
        <is>
          <t>HALLANDS LÄN</t>
        </is>
      </c>
      <c r="G155" t="inlineStr">
        <is>
          <t>KUNGSBACKA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46316</v>
      </c>
      <c r="F156" t="inlineStr">
        <is>
          <t>HALLANDS LÄN</t>
        </is>
      </c>
      <c r="G156" t="inlineStr">
        <is>
          <t>KUNGSBACKA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46316</v>
      </c>
      <c r="F157" t="inlineStr">
        <is>
          <t>HALLANDS LÄN</t>
        </is>
      </c>
      <c r="G157" t="inlineStr">
        <is>
          <t>KUNGSBACKA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46316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46316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45440</v>
      </c>
      <c r="E160" s="1" t="n">
        <v>46316</v>
      </c>
      <c r="F160" t="inlineStr">
        <is>
          <t>HALLANDS LÄN</t>
        </is>
      </c>
      <c r="G160" t="inlineStr">
        <is>
          <t>KUNGSBACKA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46316</v>
      </c>
      <c r="F161" t="inlineStr">
        <is>
          <t>HALLANDS LÄN</t>
        </is>
      </c>
      <c r="G161" t="inlineStr">
        <is>
          <t>KUNGSBACKA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46316</v>
      </c>
      <c r="F162" t="inlineStr">
        <is>
          <t>HALLANDS LÄN</t>
        </is>
      </c>
      <c r="G162" t="inlineStr">
        <is>
          <t>KUNGSBACKA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46316</v>
      </c>
      <c r="F163" t="inlineStr">
        <is>
          <t>HALLANDS LÄN</t>
        </is>
      </c>
      <c r="G163" t="inlineStr">
        <is>
          <t>KUNGSBACKA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46316</v>
      </c>
      <c r="F164" t="inlineStr">
        <is>
          <t>HALLANDS LÄN</t>
        </is>
      </c>
      <c r="G164" t="inlineStr">
        <is>
          <t>KUNGSBACKA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45443</v>
      </c>
      <c r="E165" s="1" t="n">
        <v>46316</v>
      </c>
      <c r="F165" t="inlineStr">
        <is>
          <t>HALLANDS LÄN</t>
        </is>
      </c>
      <c r="G165" t="inlineStr">
        <is>
          <t>KUNGSBACKA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46316</v>
      </c>
      <c r="F166" t="inlineStr">
        <is>
          <t>HALLANDS LÄN</t>
        </is>
      </c>
      <c r="G166" t="inlineStr">
        <is>
          <t>KUNGSBACKA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46316</v>
      </c>
      <c r="F167" t="inlineStr">
        <is>
          <t>HALLANDS LÄN</t>
        </is>
      </c>
      <c r="G167" t="inlineStr">
        <is>
          <t>KUNGSBACKA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46316</v>
      </c>
      <c r="F168" t="inlineStr">
        <is>
          <t>HALLANDS LÄN</t>
        </is>
      </c>
      <c r="G168" t="inlineStr">
        <is>
          <t>KUNGSBACKA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46316</v>
      </c>
      <c r="F169" t="inlineStr">
        <is>
          <t>HALLANDS LÄN</t>
        </is>
      </c>
      <c r="G169" t="inlineStr">
        <is>
          <t>KUNGSBACKA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46316</v>
      </c>
      <c r="F170" t="inlineStr">
        <is>
          <t>HALLANDS LÄN</t>
        </is>
      </c>
      <c r="G170" t="inlineStr">
        <is>
          <t>KUNGSBACKA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45091</v>
      </c>
      <c r="E171" s="1" t="n">
        <v>46316</v>
      </c>
      <c r="F171" t="inlineStr">
        <is>
          <t>HALLANDS LÄN</t>
        </is>
      </c>
      <c r="G171" t="inlineStr">
        <is>
          <t>KUNGSBACKA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63104-2023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46316</v>
      </c>
      <c r="F172" t="inlineStr">
        <is>
          <t>HALLANDS LÄN</t>
        </is>
      </c>
      <c r="G172" t="inlineStr">
        <is>
          <t>KUNGSBACKA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46316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46316</v>
      </c>
      <c r="F174" t="inlineStr">
        <is>
          <t>HALLANDS LÄN</t>
        </is>
      </c>
      <c r="G174" t="inlineStr">
        <is>
          <t>KUNGSBACKA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45686</v>
      </c>
      <c r="E175" s="1" t="n">
        <v>46316</v>
      </c>
      <c r="F175" t="inlineStr">
        <is>
          <t>HALLANDS LÄN</t>
        </is>
      </c>
      <c r="G175" t="inlineStr">
        <is>
          <t>KUNGSBACKA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46316</v>
      </c>
      <c r="F176" t="inlineStr">
        <is>
          <t>HALLANDS LÄN</t>
        </is>
      </c>
      <c r="G176" t="inlineStr">
        <is>
          <t>KUNGSBACKA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28879-2025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46316</v>
      </c>
      <c r="F177" t="inlineStr">
        <is>
          <t>HALLANDS LÄN</t>
        </is>
      </c>
      <c r="G177" t="inlineStr">
        <is>
          <t>KUNGSBACKA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45875</v>
      </c>
      <c r="E178" s="1" t="n">
        <v>46316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46316</v>
      </c>
      <c r="F179" t="inlineStr">
        <is>
          <t>HALLANDS LÄN</t>
        </is>
      </c>
      <c r="G179" t="inlineStr">
        <is>
          <t>KUNGSBACKA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45323</v>
      </c>
      <c r="E180" s="1" t="n">
        <v>46316</v>
      </c>
      <c r="F180" t="inlineStr">
        <is>
          <t>HALLANDS LÄN</t>
        </is>
      </c>
      <c r="G180" t="inlineStr">
        <is>
          <t>KUNGSBACKA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46316</v>
      </c>
      <c r="F181" t="inlineStr">
        <is>
          <t>HALLANDS LÄN</t>
        </is>
      </c>
      <c r="G181" t="inlineStr">
        <is>
          <t>KUNGSBACKA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46316</v>
      </c>
      <c r="F182" t="inlineStr">
        <is>
          <t>HALLANDS LÄN</t>
        </is>
      </c>
      <c r="G182" t="inlineStr">
        <is>
          <t>KUNGSBACKA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46316</v>
      </c>
      <c r="F183" t="inlineStr">
        <is>
          <t>HALLANDS LÄN</t>
        </is>
      </c>
      <c r="G183" t="inlineStr">
        <is>
          <t>KUNGSBACKA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46316</v>
      </c>
      <c r="F184" t="inlineStr">
        <is>
          <t>HALLANDS LÄN</t>
        </is>
      </c>
      <c r="G184" t="inlineStr">
        <is>
          <t>KUNGSBACKA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46316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46316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45371</v>
      </c>
      <c r="E187" s="1" t="n">
        <v>46316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46316</v>
      </c>
      <c r="F188" t="inlineStr">
        <is>
          <t>HALLANDS LÄN</t>
        </is>
      </c>
      <c r="G188" t="inlineStr">
        <is>
          <t>KUNGSBACKA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16075-2025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45749</v>
      </c>
      <c r="E189" s="1" t="n">
        <v>46316</v>
      </c>
      <c r="F189" t="inlineStr">
        <is>
          <t>HALLANDS LÄN</t>
        </is>
      </c>
      <c r="G189" t="inlineStr">
        <is>
          <t>KUNGSBACKA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46316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44775</v>
      </c>
      <c r="E191" s="1" t="n">
        <v>46316</v>
      </c>
      <c r="F191" t="inlineStr">
        <is>
          <t>HALLANDS LÄN</t>
        </is>
      </c>
      <c r="G191" t="inlineStr">
        <is>
          <t>KUNGSBACKA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45701</v>
      </c>
      <c r="E192" s="1" t="n">
        <v>46316</v>
      </c>
      <c r="F192" t="inlineStr">
        <is>
          <t>HALLANDS LÄN</t>
        </is>
      </c>
      <c r="G192" t="inlineStr">
        <is>
          <t>KUNGSBACKA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46316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46316</v>
      </c>
      <c r="F194" t="inlineStr">
        <is>
          <t>HALLANDS LÄN</t>
        </is>
      </c>
      <c r="G194" t="inlineStr">
        <is>
          <t>KUNGSBACKA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44674-2025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45917</v>
      </c>
      <c r="E195" s="1" t="n">
        <v>46316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46316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46316</v>
      </c>
      <c r="F197" t="inlineStr">
        <is>
          <t>HALLANDS LÄN</t>
        </is>
      </c>
      <c r="G197" t="inlineStr">
        <is>
          <t>KUNGSBACKA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71676-2021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46316</v>
      </c>
      <c r="F198" t="inlineStr">
        <is>
          <t>HALLANDS LÄN</t>
        </is>
      </c>
      <c r="G198" t="inlineStr">
        <is>
          <t>KUNGSBACKA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46316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45656</v>
      </c>
      <c r="E200" s="1" t="n">
        <v>46316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45881</v>
      </c>
      <c r="E201" s="1" t="n">
        <v>46316</v>
      </c>
      <c r="F201" t="inlineStr">
        <is>
          <t>HALLANDS LÄN</t>
        </is>
      </c>
      <c r="G201" t="inlineStr">
        <is>
          <t>KUNGSBACKA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46316</v>
      </c>
      <c r="F202" t="inlineStr">
        <is>
          <t>HALLANDS LÄN</t>
        </is>
      </c>
      <c r="G202" t="inlineStr">
        <is>
          <t>KUNGSBACKA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46316</v>
      </c>
      <c r="F203" t="inlineStr">
        <is>
          <t>HALLANDS LÄN</t>
        </is>
      </c>
      <c r="G203" t="inlineStr">
        <is>
          <t>KUNGSBACKA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44869</v>
      </c>
      <c r="E204" s="1" t="n">
        <v>46316</v>
      </c>
      <c r="F204" t="inlineStr">
        <is>
          <t>HALLANDS LÄN</t>
        </is>
      </c>
      <c r="G204" t="inlineStr">
        <is>
          <t>KUNGSBACKA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46316</v>
      </c>
      <c r="F205" t="inlineStr">
        <is>
          <t>HALLANDS LÄN</t>
        </is>
      </c>
      <c r="G205" t="inlineStr">
        <is>
          <t>KUNGSBACKA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45756</v>
      </c>
      <c r="E206" s="1" t="n">
        <v>46316</v>
      </c>
      <c r="F206" t="inlineStr">
        <is>
          <t>HALLANDS LÄN</t>
        </is>
      </c>
      <c r="G206" t="inlineStr">
        <is>
          <t>KUNGSBACKA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46316</v>
      </c>
      <c r="F207" t="inlineStr">
        <is>
          <t>HALLANDS LÄN</t>
        </is>
      </c>
      <c r="G207" t="inlineStr">
        <is>
          <t>KUNGSBACKA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46316</v>
      </c>
      <c r="F208" t="inlineStr">
        <is>
          <t>HALLANDS LÄN</t>
        </is>
      </c>
      <c r="G208" t="inlineStr">
        <is>
          <t>KUNGSBACKA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25337-2026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46176</v>
      </c>
      <c r="E209" s="1" t="n">
        <v>46316</v>
      </c>
      <c r="F209" t="inlineStr">
        <is>
          <t>HALLANDS LÄN</t>
        </is>
      </c>
      <c r="G209" t="inlineStr">
        <is>
          <t>KUNGSBACKA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46316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46316</v>
      </c>
      <c r="F211" t="inlineStr">
        <is>
          <t>HALLANDS LÄN</t>
        </is>
      </c>
      <c r="G211" t="inlineStr">
        <is>
          <t>KUNGSBACKA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46316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46316</v>
      </c>
      <c r="F213" t="inlineStr">
        <is>
          <t>HALLANDS LÄN</t>
        </is>
      </c>
      <c r="G213" t="inlineStr">
        <is>
          <t>KUNGSBACKA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25351-2026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46176</v>
      </c>
      <c r="E214" s="1" t="n">
        <v>46316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46316</v>
      </c>
      <c r="F215" t="inlineStr">
        <is>
          <t>HALLANDS LÄN</t>
        </is>
      </c>
      <c r="G215" t="inlineStr">
        <is>
          <t>KUNGSBACKA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46316</v>
      </c>
      <c r="F216" t="inlineStr">
        <is>
          <t>HALLANDS LÄN</t>
        </is>
      </c>
      <c r="G216" t="inlineStr">
        <is>
          <t>KUNGSBACKA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46316</v>
      </c>
      <c r="F217" t="inlineStr">
        <is>
          <t>HALLANDS LÄN</t>
        </is>
      </c>
      <c r="G217" t="inlineStr">
        <is>
          <t>KUNGSBACKA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46316</v>
      </c>
      <c r="F218" t="inlineStr">
        <is>
          <t>HALLANDS LÄN</t>
        </is>
      </c>
      <c r="G218" t="inlineStr">
        <is>
          <t>KUNGSBACKA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46316</v>
      </c>
      <c r="F219" t="inlineStr">
        <is>
          <t>HALLANDS LÄN</t>
        </is>
      </c>
      <c r="G219" t="inlineStr">
        <is>
          <t>KUNGSBACKA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46316</v>
      </c>
      <c r="F220" t="inlineStr">
        <is>
          <t>HALLANDS LÄN</t>
        </is>
      </c>
      <c r="G220" t="inlineStr">
        <is>
          <t>KUNGSBACKA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46316</v>
      </c>
      <c r="F221" t="inlineStr">
        <is>
          <t>HALLANDS LÄN</t>
        </is>
      </c>
      <c r="G221" t="inlineStr">
        <is>
          <t>KUNGSBACKA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46316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26733-2026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46184</v>
      </c>
      <c r="E223" s="1" t="n">
        <v>46316</v>
      </c>
      <c r="F223" t="inlineStr">
        <is>
          <t>HALLANDS LÄN</t>
        </is>
      </c>
      <c r="G223" t="inlineStr">
        <is>
          <t>KUNGSBACKA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46316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46316</v>
      </c>
      <c r="F225" t="inlineStr">
        <is>
          <t>HALLANDS LÄN</t>
        </is>
      </c>
      <c r="G225" t="inlineStr">
        <is>
          <t>KUNGSBACKA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46316</v>
      </c>
      <c r="F226" t="inlineStr">
        <is>
          <t>HALLANDS LÄN</t>
        </is>
      </c>
      <c r="G226" t="inlineStr">
        <is>
          <t>KUNGSBACKA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45398</v>
      </c>
      <c r="E227" s="1" t="n">
        <v>46316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46316</v>
      </c>
      <c r="F228" t="inlineStr">
        <is>
          <t>HALLANDS LÄN</t>
        </is>
      </c>
      <c r="G228" t="inlineStr">
        <is>
          <t>KUNGSBACKA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44971</v>
      </c>
      <c r="E229" s="1" t="n">
        <v>46316</v>
      </c>
      <c r="F229" t="inlineStr">
        <is>
          <t>HALLANDS LÄN</t>
        </is>
      </c>
      <c r="G229" t="inlineStr">
        <is>
          <t>KUNGSBACKA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46316</v>
      </c>
      <c r="F230" t="inlineStr">
        <is>
          <t>HALLANDS LÄN</t>
        </is>
      </c>
      <c r="G230" t="inlineStr">
        <is>
          <t>KUNGSBACKA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46316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46316</v>
      </c>
      <c r="F232" t="inlineStr">
        <is>
          <t>HALLANDS LÄN</t>
        </is>
      </c>
      <c r="G232" t="inlineStr">
        <is>
          <t>KUNGSBACKA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45366</v>
      </c>
      <c r="E233" s="1" t="n">
        <v>46316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46197</v>
      </c>
      <c r="E234" s="1" t="n">
        <v>46316</v>
      </c>
      <c r="F234" t="inlineStr">
        <is>
          <t>HALLANDS LÄN</t>
        </is>
      </c>
      <c r="G234" t="inlineStr">
        <is>
          <t>KUNGSBACKA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46316</v>
      </c>
      <c r="F235" t="inlineStr">
        <is>
          <t>HALLANDS LÄN</t>
        </is>
      </c>
      <c r="G235" t="inlineStr">
        <is>
          <t>KUNGSBACKA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46316</v>
      </c>
      <c r="F236" t="inlineStr">
        <is>
          <t>HALLANDS LÄN</t>
        </is>
      </c>
      <c r="G236" t="inlineStr">
        <is>
          <t>KUNGSBACKA</t>
        </is>
      </c>
      <c r="I236" t="n">
        <v>19.2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46316</v>
      </c>
      <c r="F237" t="inlineStr">
        <is>
          <t>HALLANDS LÄN</t>
        </is>
      </c>
      <c r="G237" t="inlineStr">
        <is>
          <t>KUNGSBACKA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46316</v>
      </c>
      <c r="F238" t="inlineStr">
        <is>
          <t>HALLANDS LÄN</t>
        </is>
      </c>
      <c r="G238" t="inlineStr">
        <is>
          <t>KUNGSBACKA</t>
        </is>
      </c>
      <c r="H238" t="inlineStr">
        <is>
          <t>Övriga Aktiebolag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46316</v>
      </c>
      <c r="F239" t="inlineStr">
        <is>
          <t>HALLANDS LÄN</t>
        </is>
      </c>
      <c r="G239" t="inlineStr">
        <is>
          <t>KUNGSBACKA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45656</v>
      </c>
      <c r="E240" s="1" t="n">
        <v>46316</v>
      </c>
      <c r="F240" t="inlineStr">
        <is>
          <t>HALLANDS LÄN</t>
        </is>
      </c>
      <c r="G240" t="inlineStr">
        <is>
          <t>KUNGSBACKA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46316</v>
      </c>
      <c r="F241" t="inlineStr">
        <is>
          <t>HALLANDS LÄN</t>
        </is>
      </c>
      <c r="G241" t="inlineStr">
        <is>
          <t>KUNGSBACKA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45078</v>
      </c>
      <c r="E242" s="1" t="n">
        <v>46316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46316</v>
      </c>
      <c r="F243" t="inlineStr">
        <is>
          <t>HALLANDS LÄN</t>
        </is>
      </c>
      <c r="G243" t="inlineStr">
        <is>
          <t>KUNGSBACKA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46232</v>
      </c>
      <c r="E244" s="1" t="n">
        <v>46316</v>
      </c>
      <c r="F244" t="inlineStr">
        <is>
          <t>HALLANDS LÄN</t>
        </is>
      </c>
      <c r="G244" t="inlineStr">
        <is>
          <t>KUNGSBACKA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46316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46316</v>
      </c>
      <c r="F246" t="inlineStr">
        <is>
          <t>HALLANDS LÄN</t>
        </is>
      </c>
      <c r="G246" t="inlineStr">
        <is>
          <t>KUNGSBACKA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46316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46316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46316</v>
      </c>
      <c r="F249" t="inlineStr">
        <is>
          <t>HALLANDS LÄN</t>
        </is>
      </c>
      <c r="G249" t="inlineStr">
        <is>
          <t>KUNGSBACKA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46316</v>
      </c>
      <c r="F250" t="inlineStr">
        <is>
          <t>HALLANDS LÄN</t>
        </is>
      </c>
      <c r="G250" t="inlineStr">
        <is>
          <t>KUNGSBACKA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46316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46316</v>
      </c>
      <c r="F252" t="inlineStr">
        <is>
          <t>HALLANDS LÄN</t>
        </is>
      </c>
      <c r="G252" t="inlineStr">
        <is>
          <t>KUNGSBACKA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45729</v>
      </c>
      <c r="E253" s="1" t="n">
        <v>46316</v>
      </c>
      <c r="F253" t="inlineStr">
        <is>
          <t>HALLANDS LÄN</t>
        </is>
      </c>
      <c r="G253" t="inlineStr">
        <is>
          <t>KUNGSBACKA</t>
        </is>
      </c>
      <c r="H253" t="inlineStr">
        <is>
          <t>Övriga Aktiebolag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45504</v>
      </c>
      <c r="E254" s="1" t="n">
        <v>46316</v>
      </c>
      <c r="F254" t="inlineStr">
        <is>
          <t>HALLANDS LÄN</t>
        </is>
      </c>
      <c r="G254" t="inlineStr">
        <is>
          <t>KUNGSBACKA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46316</v>
      </c>
      <c r="F255" t="inlineStr">
        <is>
          <t>HALLANDS LÄN</t>
        </is>
      </c>
      <c r="G255" t="inlineStr">
        <is>
          <t>KUNGSBACKA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46316</v>
      </c>
      <c r="F256" t="inlineStr">
        <is>
          <t>HALLANDS LÄN</t>
        </is>
      </c>
      <c r="G256" t="inlineStr">
        <is>
          <t>KUNGSBACKA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46316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45131</v>
      </c>
      <c r="E258" s="1" t="n">
        <v>46316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45131</v>
      </c>
      <c r="E259" s="1" t="n">
        <v>46316</v>
      </c>
      <c r="F259" t="inlineStr">
        <is>
          <t>HALLANDS LÄN</t>
        </is>
      </c>
      <c r="G259" t="inlineStr">
        <is>
          <t>KUNGSBACKA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10137-2025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45719</v>
      </c>
      <c r="E260" s="1" t="n">
        <v>46316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46295</v>
      </c>
      <c r="E261" s="1" t="n">
        <v>46316</v>
      </c>
      <c r="F261" t="inlineStr">
        <is>
          <t>HALLANDS LÄN</t>
        </is>
      </c>
      <c r="G261" t="inlineStr">
        <is>
          <t>KUNGSBACKA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46295</v>
      </c>
      <c r="E262" s="1" t="n">
        <v>46316</v>
      </c>
      <c r="F262" t="inlineStr">
        <is>
          <t>HALLANDS LÄN</t>
        </is>
      </c>
      <c r="G262" t="inlineStr">
        <is>
          <t>KUNGSBACKA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31302-2022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44773</v>
      </c>
      <c r="E263" s="1" t="n">
        <v>46316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40520-2026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46295</v>
      </c>
      <c r="E264" s="1" t="n">
        <v>46316</v>
      </c>
      <c r="F264" t="inlineStr">
        <is>
          <t>HALLANDS LÄN</t>
        </is>
      </c>
      <c r="G264" t="inlineStr">
        <is>
          <t>KUNGSBACKA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46295</v>
      </c>
      <c r="E265" s="1" t="n">
        <v>46316</v>
      </c>
      <c r="F265" t="inlineStr">
        <is>
          <t>HALLANDS LÄN</t>
        </is>
      </c>
      <c r="G265" t="inlineStr">
        <is>
          <t>KUNGSBACKA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46295</v>
      </c>
      <c r="E266" s="1" t="n">
        <v>46316</v>
      </c>
      <c r="F266" t="inlineStr">
        <is>
          <t>HALLANDS LÄN</t>
        </is>
      </c>
      <c r="G266" t="inlineStr">
        <is>
          <t>KUNGSBACKA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  <c r="Z266">
        <f>HYPERLINK("https://klasma.github.io/Logging_1384/knärot/A 40511-2026 karta knärot.png", "A 40511-2026")</f>
        <v/>
      </c>
      <c r="AA266">
        <f>HYPERLINK("https://klasma.github.io/Logging_1384/klagomål/A 40511-2026 FSC-klagomål.docx", "A 40511-2026")</f>
        <v/>
      </c>
      <c r="AB266">
        <f>HYPERLINK("https://klasma.github.io/Logging_1384/klagomålsmail/A 40511-2026 FSC-klagomål mail.docx", "A 40511-2026")</f>
        <v/>
      </c>
      <c r="AC266">
        <f>HYPERLINK("https://klasma.github.io/Logging_1384/tillsyn/A 40511-2026 tillsynsbegäran.docx", "A 40511-2026")</f>
        <v/>
      </c>
      <c r="AD266">
        <f>HYPERLINK("https://klasma.github.io/Logging_1384/tillsynsmail/A 40511-2026 tillsynsbegäran mail.docx", "A 40511-2026")</f>
        <v/>
      </c>
    </row>
    <row r="267" ht="15" customHeight="1">
      <c r="A267" t="inlineStr">
        <is>
          <t>A 41023-2026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46297</v>
      </c>
      <c r="E267" s="1" t="n">
        <v>46316</v>
      </c>
      <c r="F267" t="inlineStr">
        <is>
          <t>HALLANDS LÄN</t>
        </is>
      </c>
      <c r="G267" t="inlineStr">
        <is>
          <t>KUNGSBACKA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17293-2025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45756</v>
      </c>
      <c r="E268" s="1" t="n">
        <v>46316</v>
      </c>
      <c r="F268" t="inlineStr">
        <is>
          <t>HALLANDS LÄN</t>
        </is>
      </c>
      <c r="G268" t="inlineStr">
        <is>
          <t>KUNGSBACKA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46316</v>
      </c>
      <c r="F269" t="inlineStr">
        <is>
          <t>HALLANDS LÄN</t>
        </is>
      </c>
      <c r="G269" t="inlineStr">
        <is>
          <t>KUNGSBACKA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46316</v>
      </c>
      <c r="F270" t="inlineStr">
        <is>
          <t>HALLANDS LÄN</t>
        </is>
      </c>
      <c r="G270" t="inlineStr">
        <is>
          <t>KUNGSBACKA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46316</v>
      </c>
      <c r="F271" t="inlineStr">
        <is>
          <t>HALLANDS LÄN</t>
        </is>
      </c>
      <c r="G271" t="inlineStr">
        <is>
          <t>KUNGSBACKA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46316</v>
      </c>
      <c r="F272" t="inlineStr">
        <is>
          <t>HALLANDS LÄN</t>
        </is>
      </c>
      <c r="G272" t="inlineStr">
        <is>
          <t>KUNGSBACKA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46316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45008</v>
      </c>
      <c r="E274" s="1" t="n">
        <v>46316</v>
      </c>
      <c r="F274" t="inlineStr">
        <is>
          <t>HALLANDS LÄN</t>
        </is>
      </c>
      <c r="G274" t="inlineStr">
        <is>
          <t>KUNGSBACKA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46300</v>
      </c>
      <c r="E275" s="1" t="n">
        <v>46316</v>
      </c>
      <c r="F275" t="inlineStr">
        <is>
          <t>HALLANDS LÄN</t>
        </is>
      </c>
      <c r="G275" t="inlineStr">
        <is>
          <t>KUNGSBACKA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46316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46316</v>
      </c>
      <c r="F277" t="inlineStr">
        <is>
          <t>HALLANDS LÄN</t>
        </is>
      </c>
      <c r="G277" t="inlineStr">
        <is>
          <t>KUNGSBACKA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46316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46260</v>
      </c>
      <c r="E279" s="1" t="n">
        <v>46316</v>
      </c>
      <c r="F279" t="inlineStr">
        <is>
          <t>HALLANDS LÄN</t>
        </is>
      </c>
      <c r="G279" t="inlineStr">
        <is>
          <t>KUNGSBACKA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46316</v>
      </c>
      <c r="F280" t="inlineStr">
        <is>
          <t>HALLANDS LÄN</t>
        </is>
      </c>
      <c r="G280" t="inlineStr">
        <is>
          <t>KUNGSBACKA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46316</v>
      </c>
      <c r="F281" t="inlineStr">
        <is>
          <t>HALLANDS LÄN</t>
        </is>
      </c>
      <c r="G281" t="inlineStr">
        <is>
          <t>KUNGSBACKA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46316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46316</v>
      </c>
      <c r="F283" t="inlineStr">
        <is>
          <t>HALLANDS LÄN</t>
        </is>
      </c>
      <c r="G283" t="inlineStr">
        <is>
          <t>KUNGSBACKA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46316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46316</v>
      </c>
      <c r="F285" t="inlineStr">
        <is>
          <t>HALLANDS LÄN</t>
        </is>
      </c>
      <c r="G285" t="inlineStr">
        <is>
          <t>KUNGSBACKA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46307</v>
      </c>
      <c r="E286" s="1" t="n">
        <v>46316</v>
      </c>
      <c r="F286" t="inlineStr">
        <is>
          <t>HALLANDS LÄN</t>
        </is>
      </c>
      <c r="G286" t="inlineStr">
        <is>
          <t>KUNGSBACKA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45587</v>
      </c>
      <c r="E287" s="1" t="n">
        <v>46316</v>
      </c>
      <c r="F287" t="inlineStr">
        <is>
          <t>HALLANDS LÄN</t>
        </is>
      </c>
      <c r="G287" t="inlineStr">
        <is>
          <t>KUNGSBACKA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60004-2025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46316</v>
      </c>
      <c r="F288" t="inlineStr">
        <is>
          <t>HALLANDS LÄN</t>
        </is>
      </c>
      <c r="G288" t="inlineStr">
        <is>
          <t>KUNGSBACKA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46316</v>
      </c>
      <c r="F289" t="inlineStr">
        <is>
          <t>HALLANDS LÄN</t>
        </is>
      </c>
      <c r="G289" t="inlineStr">
        <is>
          <t>KUNGSBACKA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46316</v>
      </c>
      <c r="F290" t="inlineStr">
        <is>
          <t>HALLANDS LÄN</t>
        </is>
      </c>
      <c r="G290" t="inlineStr">
        <is>
          <t>KUNGSBACKA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46309</v>
      </c>
      <c r="E291" s="1" t="n">
        <v>46316</v>
      </c>
      <c r="F291" t="inlineStr">
        <is>
          <t>HALLANDS LÄN</t>
        </is>
      </c>
      <c r="G291" t="inlineStr">
        <is>
          <t>KUNGSBACKA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44997</v>
      </c>
      <c r="E292" s="1" t="n">
        <v>46316</v>
      </c>
      <c r="F292" t="inlineStr">
        <is>
          <t>HALLANDS LÄN</t>
        </is>
      </c>
      <c r="G292" t="inlineStr">
        <is>
          <t>KUNGSBACKA</t>
        </is>
      </c>
      <c r="I292" t="n">
        <v>10.5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46316</v>
      </c>
      <c r="F293" t="inlineStr">
        <is>
          <t>HALLANDS LÄN</t>
        </is>
      </c>
      <c r="G293" t="inlineStr">
        <is>
          <t>KUNGSBACKA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46316</v>
      </c>
      <c r="F294" t="inlineStr">
        <is>
          <t>HALLANDS LÄN</t>
        </is>
      </c>
      <c r="G294" t="inlineStr">
        <is>
          <t>KUNGSBACKA</t>
        </is>
      </c>
      <c r="H294" t="inlineStr">
        <is>
          <t>Kyrkan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45323</v>
      </c>
      <c r="E295" s="1" t="n">
        <v>46316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36459-2026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46269</v>
      </c>
      <c r="E296" s="1" t="n">
        <v>46316</v>
      </c>
      <c r="F296" t="inlineStr">
        <is>
          <t>HALLANDS LÄN</t>
        </is>
      </c>
      <c r="G296" t="inlineStr">
        <is>
          <t>KUNGSBACKA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48754-2023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45208</v>
      </c>
      <c r="E297" s="1" t="n">
        <v>46316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45398</v>
      </c>
      <c r="E298" s="1" t="n">
        <v>46316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46316</v>
      </c>
      <c r="F299" t="inlineStr">
        <is>
          <t>HALLANDS LÄN</t>
        </is>
      </c>
      <c r="G299" t="inlineStr">
        <is>
          <t>KUNGSBACKA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46316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46316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46316</v>
      </c>
      <c r="F302" t="inlineStr">
        <is>
          <t>HALLANDS LÄN</t>
        </is>
      </c>
      <c r="G302" t="inlineStr">
        <is>
          <t>KUNGSBACKA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46316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46316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46316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46316</v>
      </c>
      <c r="F306" t="inlineStr">
        <is>
          <t>HALLANDS LÄN</t>
        </is>
      </c>
      <c r="G306" t="inlineStr">
        <is>
          <t>KUNGSBACKA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44693</v>
      </c>
      <c r="E307" s="1" t="n">
        <v>46316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44925</v>
      </c>
      <c r="E308" s="1" t="n">
        <v>46316</v>
      </c>
      <c r="F308" t="inlineStr">
        <is>
          <t>HALLANDS LÄN</t>
        </is>
      </c>
      <c r="G308" t="inlineStr">
        <is>
          <t>KUNGSBACKA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46316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46316</v>
      </c>
      <c r="F310" t="inlineStr">
        <is>
          <t>HALLANDS LÄN</t>
        </is>
      </c>
      <c r="G310" t="inlineStr">
        <is>
          <t>KUNGSBACKA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46316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46316</v>
      </c>
      <c r="F312" t="inlineStr">
        <is>
          <t>HALLANDS LÄN</t>
        </is>
      </c>
      <c r="G312" t="inlineStr">
        <is>
          <t>KUNGSBACKA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46316</v>
      </c>
      <c r="F313" t="inlineStr">
        <is>
          <t>HALLANDS LÄN</t>
        </is>
      </c>
      <c r="G313" t="inlineStr">
        <is>
          <t>KUNGSBACKA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46316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2026-10-21T02:02:27Z</dcterms:created>
  <dcterms:modified xmlns:dcterms="http://purl.org/dc/terms/" xmlns:xsi="http://www.w3.org/2001/XMLSchema-instance" xsi:type="dcterms:W3CDTF">2026-10-21T02:02:28Z</dcterms:modified>
</cp:coreProperties>
</file>