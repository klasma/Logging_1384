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45743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45743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45743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45743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45743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45743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45743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45743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45743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45743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45743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45743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45743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45743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45743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45743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45743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45743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45743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HYPERLINK("https://klasma.github.io/Logging_1384/artfynd/A 10124-2025 artfynd.xlsx", "A 10124-2025")</f>
        <v/>
      </c>
      <c r="T20">
        <f>HYPERLINK("https://klasma.github.io/Logging_1384/kartor/A 10124-2025 karta.png", "A 10124-2025")</f>
        <v/>
      </c>
      <c r="V20">
        <f>HYPERLINK("https://klasma.github.io/Logging_1384/klagomål/A 10124-2025 FSC-klagomål.docx", "A 10124-2025")</f>
        <v/>
      </c>
      <c r="W20">
        <f>HYPERLINK("https://klasma.github.io/Logging_1384/klagomålsmail/A 10124-2025 FSC-klagomål mail.docx", "A 10124-2025")</f>
        <v/>
      </c>
      <c r="X20">
        <f>HYPERLINK("https://klasma.github.io/Logging_1384/tillsyn/A 10124-2025 tillsynsbegäran.docx", "A 10124-2025")</f>
        <v/>
      </c>
      <c r="Y20">
        <f>HYPERLINK("https://klasma.github.io/Logging_1384/tillsynsmail/A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45743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HYPERLINK("https://klasma.github.io/Logging_1384/artfynd/A 11010-2025 artfynd.xlsx", "A 11010-2025")</f>
        <v/>
      </c>
      <c r="T21">
        <f>HYPERLINK("https://klasma.github.io/Logging_1384/kartor/A 11010-2025 karta.png", "A 11010-2025")</f>
        <v/>
      </c>
      <c r="V21">
        <f>HYPERLINK("https://klasma.github.io/Logging_1384/klagomål/A 11010-2025 FSC-klagomål.docx", "A 11010-2025")</f>
        <v/>
      </c>
      <c r="W21">
        <f>HYPERLINK("https://klasma.github.io/Logging_1384/klagomålsmail/A 11010-2025 FSC-klagomål mail.docx", "A 11010-2025")</f>
        <v/>
      </c>
      <c r="X21">
        <f>HYPERLINK("https://klasma.github.io/Logging_1384/tillsyn/A 11010-2025 tillsynsbegäran.docx", "A 11010-2025")</f>
        <v/>
      </c>
      <c r="Y21">
        <f>HYPERLINK("https://klasma.github.io/Logging_1384/tillsynsmail/A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45743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HYPERLINK("https://klasma.github.io/Logging_1384/artfynd/A 13932-2025 artfynd.xlsx", "A 13932-2025")</f>
        <v/>
      </c>
      <c r="T22">
        <f>HYPERLINK("https://klasma.github.io/Logging_1384/kartor/A 13932-2025 karta.png", "A 13932-2025")</f>
        <v/>
      </c>
      <c r="V22">
        <f>HYPERLINK("https://klasma.github.io/Logging_1384/klagomål/A 13932-2025 FSC-klagomål.docx", "A 13932-2025")</f>
        <v/>
      </c>
      <c r="W22">
        <f>HYPERLINK("https://klasma.github.io/Logging_1384/klagomålsmail/A 13932-2025 FSC-klagomål mail.docx", "A 13932-2025")</f>
        <v/>
      </c>
      <c r="X22">
        <f>HYPERLINK("https://klasma.github.io/Logging_1384/tillsyn/A 13932-2025 tillsynsbegäran.docx", "A 13932-2025")</f>
        <v/>
      </c>
      <c r="Y22">
        <f>HYPERLINK("https://klasma.github.io/Logging_1384/tillsynsmail/A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45743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45743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45743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45743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45743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45743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45743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45743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45743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45743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45743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45743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45743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45743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45743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45743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45743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45743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45743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45743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45743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45743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45743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45743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45743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45743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45743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45743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45743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45743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45743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45743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45743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45743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45743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45743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45743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45743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45743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45743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45743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45743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45743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45743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45743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45743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45743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45743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45743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45743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45743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45743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45743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45743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45743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45743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45743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45743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45743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45743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45743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45743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45743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45743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45743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45743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45743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45743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45743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45743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45743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45743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45743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45743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45743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45743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45743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45743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45743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45743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45743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45743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45743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45743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45743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45743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45743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45743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45743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45743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45743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45743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45743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45743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45743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45743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45743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45743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45743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45743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45743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45743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45743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45743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45743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45743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45743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45743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45743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45743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45743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45743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45743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45743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45743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45743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45743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45743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45743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45743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45743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45743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45743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45743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45743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45743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45743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45743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45743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45743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45743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45743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45743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45743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45743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45743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45743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45743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45743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45743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45743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45743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45743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45743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45743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45743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45743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45743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45743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45743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45743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45743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45743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45743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45743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45743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45743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45743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45743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45743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45743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45743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45743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45743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45743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45743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45743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45743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45743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45743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45743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45743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45743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45743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45743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45743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45743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45743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45743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45743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45743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45743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45743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45743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45743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45743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45743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45743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45743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45743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45743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45743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45743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45743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45743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45743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45743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45743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45743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45743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45743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45743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45743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45743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45743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45743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45743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45743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45743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45743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45743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45743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45743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45743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45743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45743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45743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45743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45743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45743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45743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45743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45743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45743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45743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45743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45743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45743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45743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45743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45743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45743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45743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45743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45743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45743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45743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45743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45743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45743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45743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45743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45743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45743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45743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45743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45743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45743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45743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45743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45743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45743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45743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45743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45743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45743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45743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45743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45743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45743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45743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45743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45743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45743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45743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45743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45743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45743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45743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45743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45743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45743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45743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45743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45743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45743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45743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45743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45743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45743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45743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45743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45743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45743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45743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45743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45743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45743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45743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45743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45743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45743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45743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45743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45743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45743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45743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45743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45743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45743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45743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45743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45743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45743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45743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45743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45743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45743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45743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45743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45743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45743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45743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45743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45743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45743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45743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45743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45743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45743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45743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45743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45743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45743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45743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45743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45743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45743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45743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45743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45743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45743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45743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45743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45743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45743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45743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45743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45743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45743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45743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45743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45743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45743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45743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45743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45743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45743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45743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45743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45743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45743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45743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45743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45743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45743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45743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45743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45743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45743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45743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45743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45743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45743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45743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45743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45743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45743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45743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45743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45743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45743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45743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45743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45743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45743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45743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45743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45743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45743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45743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45743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45743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45743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45743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45743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45743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45743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45743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45743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45743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45743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45743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45743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45743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45743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45743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45743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45743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45743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45743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45743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45743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45743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45743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45743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45743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45743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45743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45743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45743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45743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45743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45743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45743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45743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45743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45743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45743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45743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45743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45743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45743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45743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45743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45743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45743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45743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45743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45743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45743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45743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45743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45743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45743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45743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45743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45743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45743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45743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45743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45743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45743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45743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45743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45743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45743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45743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45743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45743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9965-2025</t>
        </is>
      </c>
      <c r="B473" s="1" t="n">
        <v>45719</v>
      </c>
      <c r="C473" s="1" t="n">
        <v>45743</v>
      </c>
      <c r="D473" t="inlineStr">
        <is>
          <t>HALLANDS LÄN</t>
        </is>
      </c>
      <c r="E473" t="inlineStr">
        <is>
          <t>KUNGSBACKA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9976-2025</t>
        </is>
      </c>
      <c r="B474" s="1" t="n">
        <v>45719</v>
      </c>
      <c r="C474" s="1" t="n">
        <v>45743</v>
      </c>
      <c r="D474" t="inlineStr">
        <is>
          <t>HALLANDS LÄN</t>
        </is>
      </c>
      <c r="E474" t="inlineStr">
        <is>
          <t>KUNGSBACKA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10137-2025</t>
        </is>
      </c>
      <c r="B475" s="1" t="n">
        <v>45719</v>
      </c>
      <c r="C475" s="1" t="n">
        <v>45743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10140-2025</t>
        </is>
      </c>
      <c r="B476" s="1" t="n">
        <v>45719</v>
      </c>
      <c r="C476" s="1" t="n">
        <v>45743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10665-2025</t>
        </is>
      </c>
      <c r="B477" s="1" t="n">
        <v>45721</v>
      </c>
      <c r="C477" s="1" t="n">
        <v>45743</v>
      </c>
      <c r="D477" t="inlineStr">
        <is>
          <t>HALLANDS LÄN</t>
        </is>
      </c>
      <c r="E477" t="inlineStr">
        <is>
          <t>KUNGSBACKA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45743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45743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10672-2025</t>
        </is>
      </c>
      <c r="B480" s="1" t="n">
        <v>45721</v>
      </c>
      <c r="C480" s="1" t="n">
        <v>45743</v>
      </c>
      <c r="D480" t="inlineStr">
        <is>
          <t>HALLANDS LÄN</t>
        </is>
      </c>
      <c r="E480" t="inlineStr">
        <is>
          <t>KUNGSBACKA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45743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45743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11204-2025</t>
        </is>
      </c>
      <c r="B483" s="1" t="n">
        <v>45726</v>
      </c>
      <c r="C483" s="1" t="n">
        <v>45743</v>
      </c>
      <c r="D483" t="inlineStr">
        <is>
          <t>HALLANDS LÄN</t>
        </is>
      </c>
      <c r="E483" t="inlineStr">
        <is>
          <t>KUNGSBACKA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45743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11490-2025</t>
        </is>
      </c>
      <c r="B485" s="1" t="n">
        <v>45726</v>
      </c>
      <c r="C485" s="1" t="n">
        <v>45743</v>
      </c>
      <c r="D485" t="inlineStr">
        <is>
          <t>HALLANDS LÄN</t>
        </is>
      </c>
      <c r="E485" t="inlineStr">
        <is>
          <t>KUNGSBACKA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45743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45743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45743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45743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12094-2025</t>
        </is>
      </c>
      <c r="B490" s="1" t="n">
        <v>45729</v>
      </c>
      <c r="C490" s="1" t="n">
        <v>45743</v>
      </c>
      <c r="D490" t="inlineStr">
        <is>
          <t>HALLANDS LÄN</t>
        </is>
      </c>
      <c r="E490" t="inlineStr">
        <is>
          <t>KUNGSBACKA</t>
        </is>
      </c>
      <c r="F490" t="inlineStr">
        <is>
          <t>Övriga Aktiebolag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45743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45743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12220-2025</t>
        </is>
      </c>
      <c r="B493" s="1" t="n">
        <v>45729</v>
      </c>
      <c r="C493" s="1" t="n">
        <v>45743</v>
      </c>
      <c r="D493" t="inlineStr">
        <is>
          <t>HALLANDS LÄN</t>
        </is>
      </c>
      <c r="E493" t="inlineStr">
        <is>
          <t>KUNGSBACKA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45743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12979-2025</t>
        </is>
      </c>
      <c r="B495" s="1" t="n">
        <v>45734</v>
      </c>
      <c r="C495" s="1" t="n">
        <v>45743</v>
      </c>
      <c r="D495" t="inlineStr">
        <is>
          <t>HALLANDS LÄN</t>
        </is>
      </c>
      <c r="E495" t="inlineStr">
        <is>
          <t>KUNGSBACKA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45743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45743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45743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45743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45743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14719-2025</t>
        </is>
      </c>
      <c r="B501" s="1" t="n">
        <v>45742</v>
      </c>
      <c r="C501" s="1" t="n">
        <v>45743</v>
      </c>
      <c r="D501" t="inlineStr">
        <is>
          <t>HALLANDS LÄN</t>
        </is>
      </c>
      <c r="E501" t="inlineStr">
        <is>
          <t>KUNGSBACKA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45743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14762-2025</t>
        </is>
      </c>
      <c r="B503" s="1" t="n">
        <v>45742</v>
      </c>
      <c r="C503" s="1" t="n">
        <v>45743</v>
      </c>
      <c r="D503" t="inlineStr">
        <is>
          <t>HALLANDS LÄN</t>
        </is>
      </c>
      <c r="E503" t="inlineStr">
        <is>
          <t>KUNGSBACKA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2025-03-27T18:21:05Z</dcterms:created>
  <dcterms:modified xmlns:dcterms="http://purl.org/dc/terms/" xmlns:xsi="http://www.w3.org/2001/XMLSchema-instance" xsi:type="dcterms:W3CDTF">2025-03-27T18:21:06Z</dcterms:modified>
</cp:coreProperties>
</file>