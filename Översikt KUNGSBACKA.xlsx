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46261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46261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46261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46261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46261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46261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46261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46261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46261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46261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46261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46261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46261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11010-2025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45723</v>
      </c>
      <c r="E21" s="1" t="n">
        <v>46261</v>
      </c>
      <c r="F21" t="inlineStr">
        <is>
          <t>HALLANDS LÄN</t>
        </is>
      </c>
      <c r="G21" t="inlineStr">
        <is>
          <t>KUNGSBACKA</t>
        </is>
      </c>
      <c r="I21" t="n">
        <v>12.4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11010-2025 artfynd.xlsx", "A 11010-2025")</f>
        <v/>
      </c>
      <c r="X21">
        <f>HYPERLINK("https://klasma.github.io/Logging_1384/kartor/A 11010-2025 karta.png", "A 11010-2025")</f>
        <v/>
      </c>
      <c r="Y21">
        <f>HYPERLINK("https://klasma.github.io/Logging_1384/kartor_geotiff/A 11010-2025 georefererad karta.tif", "A 11010-2025")</f>
        <v/>
      </c>
      <c r="AA21">
        <f>HYPERLINK("https://klasma.github.io/Logging_1384/klagomål/A 11010-2025 FSC-klagomål.docx", "A 11010-2025")</f>
        <v/>
      </c>
      <c r="AB21">
        <f>HYPERLINK("https://klasma.github.io/Logging_1384/klagomålsmail/A 11010-2025 FSC-klagomål mail.docx", "A 11010-2025")</f>
        <v/>
      </c>
      <c r="AC21">
        <f>HYPERLINK("https://klasma.github.io/Logging_1384/tillsyn/A 11010-2025 tillsynsbegäran.docx", "A 11010-2025")</f>
        <v/>
      </c>
      <c r="AD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46261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35165-2026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46260</v>
      </c>
      <c r="E23" s="1" t="n">
        <v>46261</v>
      </c>
      <c r="F23" t="inlineStr">
        <is>
          <t>HALLANDS LÄN</t>
        </is>
      </c>
      <c r="G23" t="inlineStr">
        <is>
          <t>KUNGSBACKA</t>
        </is>
      </c>
      <c r="I23" t="n">
        <v>6.3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HYPERLINK("https://klasma.github.io/Logging_1384/artfynd/A 35165-2026 artfynd.xlsx", "A 35165-2026")</f>
        <v/>
      </c>
      <c r="X23">
        <f>HYPERLINK("https://klasma.github.io/Logging_1384/kartor/A 35165-2026 karta.png", "A 35165-2026")</f>
        <v/>
      </c>
      <c r="Y23">
        <f>HYPERLINK("https://klasma.github.io/Logging_1384/kartor_geotiff/A 35165-2026 georefererad karta.tif", "A 35165-2026")</f>
        <v/>
      </c>
      <c r="AA23">
        <f>HYPERLINK("https://klasma.github.io/Logging_1384/klagomål/A 35165-2026 FSC-klagomål.docx", "A 35165-2026")</f>
        <v/>
      </c>
      <c r="AB23">
        <f>HYPERLINK("https://klasma.github.io/Logging_1384/klagomålsmail/A 35165-2026 FSC-klagomål mail.docx", "A 35165-2026")</f>
        <v/>
      </c>
      <c r="AC23">
        <f>HYPERLINK("https://klasma.github.io/Logging_1384/tillsyn/A 35165-2026 tillsynsbegäran.docx", "A 35165-2026")</f>
        <v/>
      </c>
      <c r="AD23">
        <f>HYPERLINK("https://klasma.github.io/Logging_1384/tillsynsmail/A 35165-2026 tillsynsbegäran mail.docx", "A 35165-2026")</f>
        <v/>
      </c>
    </row>
    <row r="24" ht="15" customHeight="1">
      <c r="A24" t="inlineStr">
        <is>
          <t>A 7801-2025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46261</v>
      </c>
      <c r="F24" t="inlineStr">
        <is>
          <t>HALLANDS LÄN</t>
        </is>
      </c>
      <c r="G24" t="inlineStr">
        <is>
          <t>KUNGSBACKA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HYPERLINK("https://klasma.github.io/Logging_1384/artfynd/A 7801-2025 artfynd.xlsx", "A 7801-2025")</f>
        <v/>
      </c>
      <c r="X24">
        <f>HYPERLINK("https://klasma.github.io/Logging_1384/kartor/A 7801-2025 karta.png", "A 7801-2025")</f>
        <v/>
      </c>
      <c r="Y24">
        <f>HYPERLINK("https://klasma.github.io/Logging_1384/kartor_geotiff/A 7801-2025 georefererad karta.tif", "A 7801-2025")</f>
        <v/>
      </c>
      <c r="AA24">
        <f>HYPERLINK("https://klasma.github.io/Logging_1384/klagomål/A 7801-2025 FSC-klagomål.docx", "A 7801-2025")</f>
        <v/>
      </c>
      <c r="AB24">
        <f>HYPERLINK("https://klasma.github.io/Logging_1384/klagomålsmail/A 7801-2025 FSC-klagomål mail.docx", "A 7801-2025")</f>
        <v/>
      </c>
      <c r="AC24">
        <f>HYPERLINK("https://klasma.github.io/Logging_1384/tillsyn/A 7801-2025 tillsynsbegäran.docx", "A 7801-2025")</f>
        <v/>
      </c>
      <c r="AD24">
        <f>HYPERLINK("https://klasma.github.io/Logging_1384/tillsynsmail/A 7801-2025 tillsynsbegäran mail.docx", "A 7801-2025")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46261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9527-2024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46261</v>
      </c>
      <c r="F26" t="inlineStr">
        <is>
          <t>HALLANDS LÄN</t>
        </is>
      </c>
      <c r="G26" t="inlineStr">
        <is>
          <t>KUNGSBACKA</t>
        </is>
      </c>
      <c r="H26" t="inlineStr">
        <is>
          <t>Kyrkan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Backsvala</t>
        </is>
      </c>
      <c r="W26">
        <f>HYPERLINK("https://klasma.github.io/Logging_1384/artfynd/A 9527-2024 artfynd.xlsx", "A 9527-2024")</f>
        <v/>
      </c>
      <c r="X26">
        <f>HYPERLINK("https://klasma.github.io/Logging_1384/kartor/A 9527-2024 karta.png", "A 9527-2024")</f>
        <v/>
      </c>
      <c r="Y26">
        <f>HYPERLINK("https://klasma.github.io/Logging_1384/kartor_geotiff/A 9527-2024 georefererad karta.tif", "A 9527-2024")</f>
        <v/>
      </c>
      <c r="AA26">
        <f>HYPERLINK("https://klasma.github.io/Logging_1384/klagomål/A 9527-2024 FSC-klagomål.docx", "A 9527-2024")</f>
        <v/>
      </c>
      <c r="AB26">
        <f>HYPERLINK("https://klasma.github.io/Logging_1384/klagomålsmail/A 9527-2024 FSC-klagomål mail.docx", "A 9527-2024")</f>
        <v/>
      </c>
      <c r="AC26">
        <f>HYPERLINK("https://klasma.github.io/Logging_1384/tillsyn/A 9527-2024 tillsynsbegäran.docx", "A 9527-2024")</f>
        <v/>
      </c>
      <c r="AD26">
        <f>HYPERLINK("https://klasma.github.io/Logging_1384/tillsynsmail/A 9527-2024 tillsynsbegäran mail.docx", "A 9527-2024")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46261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46261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46261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46261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46261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46261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46261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46261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46261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46261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46261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46261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46261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46261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46261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46261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46261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46261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10949-2024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45370</v>
      </c>
      <c r="E49" s="1" t="n">
        <v>46261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44767</v>
      </c>
      <c r="E50" s="1" t="n">
        <v>46261</v>
      </c>
      <c r="F50" t="inlineStr">
        <is>
          <t>HALLANDS LÄN</t>
        </is>
      </c>
      <c r="G50" t="inlineStr">
        <is>
          <t>KUNGSBACKA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46261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46261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46261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46261</v>
      </c>
      <c r="F54" t="inlineStr">
        <is>
          <t>HALLANDS LÄN</t>
        </is>
      </c>
      <c r="G54" t="inlineStr">
        <is>
          <t>KUNGSBACKA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46027</v>
      </c>
      <c r="E55" s="1" t="n">
        <v>46261</v>
      </c>
      <c r="F55" t="inlineStr">
        <is>
          <t>HALLANDS LÄN</t>
        </is>
      </c>
      <c r="G55" t="inlineStr">
        <is>
          <t>KUNGSBACKA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45679</v>
      </c>
      <c r="E56" s="1" t="n">
        <v>46261</v>
      </c>
      <c r="F56" t="inlineStr">
        <is>
          <t>HALLANDS LÄN</t>
        </is>
      </c>
      <c r="G56" t="inlineStr">
        <is>
          <t>KUNGSBACKA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46031</v>
      </c>
      <c r="E57" s="1" t="n">
        <v>46261</v>
      </c>
      <c r="F57" t="inlineStr">
        <is>
          <t>HALLANDS LÄN</t>
        </is>
      </c>
      <c r="G57" t="inlineStr">
        <is>
          <t>KUNGSBACKA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46031</v>
      </c>
      <c r="E58" s="1" t="n">
        <v>46261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46261</v>
      </c>
      <c r="F59" t="inlineStr">
        <is>
          <t>HALLANDS LÄN</t>
        </is>
      </c>
      <c r="G59" t="inlineStr">
        <is>
          <t>KUNGSBACKA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53051-2021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46261</v>
      </c>
      <c r="F60" t="inlineStr">
        <is>
          <t>HALLANDS LÄN</t>
        </is>
      </c>
      <c r="G60" t="inlineStr">
        <is>
          <t>KUNGSBACKA</t>
        </is>
      </c>
      <c r="H60" t="inlineStr">
        <is>
          <t>Kommuner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45504</v>
      </c>
      <c r="E61" s="1" t="n">
        <v>46261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59623-2024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45638</v>
      </c>
      <c r="E62" s="1" t="n">
        <v>46261</v>
      </c>
      <c r="F62" t="inlineStr">
        <is>
          <t>HALLANDS LÄN</t>
        </is>
      </c>
      <c r="G62" t="inlineStr">
        <is>
          <t>KUNGSBACKA</t>
        </is>
      </c>
      <c r="I62" t="n">
        <v>19.2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25269-2025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45800</v>
      </c>
      <c r="E63" s="1" t="n">
        <v>46261</v>
      </c>
      <c r="F63" t="inlineStr">
        <is>
          <t>HALLANDS LÄN</t>
        </is>
      </c>
      <c r="G63" t="inlineStr">
        <is>
          <t>KUNGSBACKA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39066-2025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45888</v>
      </c>
      <c r="E64" s="1" t="n">
        <v>46261</v>
      </c>
      <c r="F64" t="inlineStr">
        <is>
          <t>HALLANDS LÄN</t>
        </is>
      </c>
      <c r="G64" t="inlineStr">
        <is>
          <t>KUNGSBACKA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46261</v>
      </c>
      <c r="F65" t="inlineStr">
        <is>
          <t>HALLANDS LÄN</t>
        </is>
      </c>
      <c r="G65" t="inlineStr">
        <is>
          <t>KUNGSBACKA</t>
        </is>
      </c>
      <c r="I65" t="n">
        <v>13.8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46261</v>
      </c>
      <c r="F66" t="inlineStr">
        <is>
          <t>HALLANDS LÄN</t>
        </is>
      </c>
      <c r="G66" t="inlineStr">
        <is>
          <t>KUNGSBACKA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46261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46261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46261</v>
      </c>
      <c r="F69" t="inlineStr">
        <is>
          <t>HALLANDS LÄN</t>
        </is>
      </c>
      <c r="G69" t="inlineStr">
        <is>
          <t>KUNGSBACKA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46261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46261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46261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46261</v>
      </c>
      <c r="F73" t="inlineStr">
        <is>
          <t>HALLANDS LÄN</t>
        </is>
      </c>
      <c r="G73" t="inlineStr">
        <is>
          <t>KUNGSBACKA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46054</v>
      </c>
      <c r="E74" s="1" t="n">
        <v>46261</v>
      </c>
      <c r="F74" t="inlineStr">
        <is>
          <t>HALLANDS LÄN</t>
        </is>
      </c>
      <c r="G74" t="inlineStr">
        <is>
          <t>KUNGSBACKA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46054</v>
      </c>
      <c r="E75" s="1" t="n">
        <v>46261</v>
      </c>
      <c r="F75" t="inlineStr">
        <is>
          <t>HALLANDS LÄN</t>
        </is>
      </c>
      <c r="G75" t="inlineStr">
        <is>
          <t>KUNGSBACKA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46054</v>
      </c>
      <c r="E76" s="1" t="n">
        <v>46261</v>
      </c>
      <c r="F76" t="inlineStr">
        <is>
          <t>HALLANDS LÄN</t>
        </is>
      </c>
      <c r="G76" t="inlineStr">
        <is>
          <t>KUNGSBACKA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46261</v>
      </c>
      <c r="F77" t="inlineStr">
        <is>
          <t>HALLANDS LÄN</t>
        </is>
      </c>
      <c r="G77" t="inlineStr">
        <is>
          <t>KUNGSBACKA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46261</v>
      </c>
      <c r="F78" t="inlineStr">
        <is>
          <t>HALLANDS LÄN</t>
        </is>
      </c>
      <c r="G78" t="inlineStr">
        <is>
          <t>KUNGSBACKA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46261</v>
      </c>
      <c r="F79" t="inlineStr">
        <is>
          <t>HALLANDS LÄN</t>
        </is>
      </c>
      <c r="G79" t="inlineStr">
        <is>
          <t>KUNGSBACKA</t>
        </is>
      </c>
      <c r="H79" t="inlineStr">
        <is>
          <t>Kommuner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45912</v>
      </c>
      <c r="E80" s="1" t="n">
        <v>46261</v>
      </c>
      <c r="F80" t="inlineStr">
        <is>
          <t>HALLANDS LÄN</t>
        </is>
      </c>
      <c r="G80" t="inlineStr">
        <is>
          <t>KUNGSBACKA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46261</v>
      </c>
      <c r="F81" t="inlineStr">
        <is>
          <t>HALLANDS LÄN</t>
        </is>
      </c>
      <c r="G81" t="inlineStr">
        <is>
          <t>KUNGSBACKA</t>
        </is>
      </c>
      <c r="I81" t="n">
        <v>19.2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46261</v>
      </c>
      <c r="F82" t="inlineStr">
        <is>
          <t>HALLANDS LÄN</t>
        </is>
      </c>
      <c r="G82" t="inlineStr">
        <is>
          <t>KUNGSBACKA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46261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10753-2026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46261</v>
      </c>
      <c r="F84" t="inlineStr">
        <is>
          <t>HALLANDS LÄN</t>
        </is>
      </c>
      <c r="G84" t="inlineStr">
        <is>
          <t>KUNGSBACKA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46261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46261</v>
      </c>
      <c r="F86" t="inlineStr">
        <is>
          <t>HALLANDS LÄN</t>
        </is>
      </c>
      <c r="G86" t="inlineStr">
        <is>
          <t>KUNGSBACKA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45532</v>
      </c>
      <c r="E87" s="1" t="n">
        <v>46261</v>
      </c>
      <c r="F87" t="inlineStr">
        <is>
          <t>HALLANDS LÄN</t>
        </is>
      </c>
      <c r="G87" t="inlineStr">
        <is>
          <t>KUNGSBACKA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45532</v>
      </c>
      <c r="E88" s="1" t="n">
        <v>46261</v>
      </c>
      <c r="F88" t="inlineStr">
        <is>
          <t>HALLANDS LÄN</t>
        </is>
      </c>
      <c r="G88" t="inlineStr">
        <is>
          <t>KUNGSBACKA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46261</v>
      </c>
      <c r="F89" t="inlineStr">
        <is>
          <t>HALLANDS LÄN</t>
        </is>
      </c>
      <c r="G89" t="inlineStr">
        <is>
          <t>KUNGSBACKA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46261</v>
      </c>
      <c r="F90" t="inlineStr">
        <is>
          <t>HALLANDS LÄN</t>
        </is>
      </c>
      <c r="G90" t="inlineStr">
        <is>
          <t>KUNGSBACKA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46261</v>
      </c>
      <c r="F91" t="inlineStr">
        <is>
          <t>HALLANDS LÄN</t>
        </is>
      </c>
      <c r="G91" t="inlineStr">
        <is>
          <t>KUNGSBACKA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46261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45846</v>
      </c>
      <c r="E93" s="1" t="n">
        <v>46261</v>
      </c>
      <c r="F93" t="inlineStr">
        <is>
          <t>HALLANDS LÄN</t>
        </is>
      </c>
      <c r="G93" t="inlineStr">
        <is>
          <t>KUNGSBACKA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46261</v>
      </c>
      <c r="F94" t="inlineStr">
        <is>
          <t>HALLANDS LÄN</t>
        </is>
      </c>
      <c r="G94" t="inlineStr">
        <is>
          <t>KUNGSBACKA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46261</v>
      </c>
      <c r="F95" t="inlineStr">
        <is>
          <t>HALLANDS LÄN</t>
        </is>
      </c>
      <c r="G95" t="inlineStr">
        <is>
          <t>KUNGSBACKA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46261</v>
      </c>
      <c r="F96" t="inlineStr">
        <is>
          <t>HALLANDS LÄN</t>
        </is>
      </c>
      <c r="G96" t="inlineStr">
        <is>
          <t>KUNGSBACKA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44971</v>
      </c>
      <c r="E97" s="1" t="n">
        <v>46261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45848</v>
      </c>
      <c r="E98" s="1" t="n">
        <v>46261</v>
      </c>
      <c r="F98" t="inlineStr">
        <is>
          <t>HALLANDS LÄN</t>
        </is>
      </c>
      <c r="G98" t="inlineStr">
        <is>
          <t>KUNGSBACKA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34975-2025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45849</v>
      </c>
      <c r="E99" s="1" t="n">
        <v>46261</v>
      </c>
      <c r="F99" t="inlineStr">
        <is>
          <t>HALLANDS LÄN</t>
        </is>
      </c>
      <c r="G99" t="inlineStr">
        <is>
          <t>KUNGSBACKA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46261</v>
      </c>
      <c r="F100" t="inlineStr">
        <is>
          <t>HALLANDS LÄN</t>
        </is>
      </c>
      <c r="G100" t="inlineStr">
        <is>
          <t>KUNGSBACKA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45861</v>
      </c>
      <c r="E101" s="1" t="n">
        <v>46261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45862</v>
      </c>
      <c r="E102" s="1" t="n">
        <v>46261</v>
      </c>
      <c r="F102" t="inlineStr">
        <is>
          <t>HALLANDS LÄN</t>
        </is>
      </c>
      <c r="G102" t="inlineStr">
        <is>
          <t>KUNGSBACKA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46261</v>
      </c>
      <c r="F103" t="inlineStr">
        <is>
          <t>HALLANDS LÄN</t>
        </is>
      </c>
      <c r="G103" t="inlineStr">
        <is>
          <t>KUNGSBACKA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46261</v>
      </c>
      <c r="F104" t="inlineStr">
        <is>
          <t>HALLANDS LÄN</t>
        </is>
      </c>
      <c r="G104" t="inlineStr">
        <is>
          <t>KUNGSBACKA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46261</v>
      </c>
      <c r="F105" t="inlineStr">
        <is>
          <t>HALLANDS LÄN</t>
        </is>
      </c>
      <c r="G105" t="inlineStr">
        <is>
          <t>KUNGSBACKA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46261</v>
      </c>
      <c r="F106" t="inlineStr">
        <is>
          <t>HALLANDS LÄN</t>
        </is>
      </c>
      <c r="G106" t="inlineStr">
        <is>
          <t>KUNGSBACKA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46261</v>
      </c>
      <c r="F107" t="inlineStr">
        <is>
          <t>HALLANDS LÄN</t>
        </is>
      </c>
      <c r="G107" t="inlineStr">
        <is>
          <t>KUNGSBACKA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45873</v>
      </c>
      <c r="E108" s="1" t="n">
        <v>46261</v>
      </c>
      <c r="F108" t="inlineStr">
        <is>
          <t>HALLANDS LÄN</t>
        </is>
      </c>
      <c r="G108" t="inlineStr">
        <is>
          <t>KUNGSBACKA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46261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46261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46261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46261</v>
      </c>
      <c r="F112" t="inlineStr">
        <is>
          <t>HALLANDS LÄN</t>
        </is>
      </c>
      <c r="G112" t="inlineStr">
        <is>
          <t>KUNGSBACKA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45524</v>
      </c>
      <c r="E113" s="1" t="n">
        <v>46261</v>
      </c>
      <c r="F113" t="inlineStr">
        <is>
          <t>HALLANDS LÄN</t>
        </is>
      </c>
      <c r="G113" t="inlineStr">
        <is>
          <t>KUNGSBACKA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45524</v>
      </c>
      <c r="E114" s="1" t="n">
        <v>46261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46261</v>
      </c>
      <c r="F115" t="inlineStr">
        <is>
          <t>HALLANDS LÄN</t>
        </is>
      </c>
      <c r="G115" t="inlineStr">
        <is>
          <t>KUNGSBACKA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45686</v>
      </c>
      <c r="E116" s="1" t="n">
        <v>46261</v>
      </c>
      <c r="F116" t="inlineStr">
        <is>
          <t>HALLANDS LÄN</t>
        </is>
      </c>
      <c r="G116" t="inlineStr">
        <is>
          <t>KUNGSBACKA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46261</v>
      </c>
      <c r="F117" t="inlineStr">
        <is>
          <t>HALLANDS LÄN</t>
        </is>
      </c>
      <c r="G117" t="inlineStr">
        <is>
          <t>KUNGSBACKA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46261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46261</v>
      </c>
      <c r="F119" t="inlineStr">
        <is>
          <t>HALLANDS LÄN</t>
        </is>
      </c>
      <c r="G119" t="inlineStr">
        <is>
          <t>KUNGSBACKA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46261</v>
      </c>
      <c r="F120" t="inlineStr">
        <is>
          <t>HALLANDS LÄN</t>
        </is>
      </c>
      <c r="G120" t="inlineStr">
        <is>
          <t>KUNGSBACKA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45091</v>
      </c>
      <c r="E121" s="1" t="n">
        <v>46261</v>
      </c>
      <c r="F121" t="inlineStr">
        <is>
          <t>HALLANDS LÄN</t>
        </is>
      </c>
      <c r="G121" t="inlineStr">
        <is>
          <t>KUNGSBACKA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45118</v>
      </c>
      <c r="E122" s="1" t="n">
        <v>46261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46261</v>
      </c>
      <c r="F123" t="inlineStr">
        <is>
          <t>HALLANDS LÄN</t>
        </is>
      </c>
      <c r="G123" t="inlineStr">
        <is>
          <t>KUNGSBACKA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45273</v>
      </c>
      <c r="E124" s="1" t="n">
        <v>46261</v>
      </c>
      <c r="F124" t="inlineStr">
        <is>
          <t>HALLANDS LÄN</t>
        </is>
      </c>
      <c r="G124" t="inlineStr">
        <is>
          <t>KUNGSBACKA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46261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45134</v>
      </c>
      <c r="E126" s="1" t="n">
        <v>46261</v>
      </c>
      <c r="F126" t="inlineStr">
        <is>
          <t>HALLANDS LÄN</t>
        </is>
      </c>
      <c r="G126" t="inlineStr">
        <is>
          <t>KUNGSBACKA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46261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46261</v>
      </c>
      <c r="F128" t="inlineStr">
        <is>
          <t>HALLANDS LÄN</t>
        </is>
      </c>
      <c r="G128" t="inlineStr">
        <is>
          <t>KUNGSBACKA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46261</v>
      </c>
      <c r="F129" t="inlineStr">
        <is>
          <t>HALLANDS LÄN</t>
        </is>
      </c>
      <c r="G129" t="inlineStr">
        <is>
          <t>KUNGSBACKA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46261</v>
      </c>
      <c r="F130" t="inlineStr">
        <is>
          <t>HALLANDS LÄN</t>
        </is>
      </c>
      <c r="G130" t="inlineStr">
        <is>
          <t>KUNGSBACKA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46261</v>
      </c>
      <c r="F131" t="inlineStr">
        <is>
          <t>HALLANDS LÄN</t>
        </is>
      </c>
      <c r="G131" t="inlineStr">
        <is>
          <t>KUNGSBACKA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46261</v>
      </c>
      <c r="F132" t="inlineStr">
        <is>
          <t>HALLANDS LÄN</t>
        </is>
      </c>
      <c r="G132" t="inlineStr">
        <is>
          <t>KUNGSBACKA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46261</v>
      </c>
      <c r="F133" t="inlineStr">
        <is>
          <t>HALLANDS LÄN</t>
        </is>
      </c>
      <c r="G133" t="inlineStr">
        <is>
          <t>KUNGSBACKA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51523-2025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45950</v>
      </c>
      <c r="E134" s="1" t="n">
        <v>46261</v>
      </c>
      <c r="F134" t="inlineStr">
        <is>
          <t>HALLANDS LÄN</t>
        </is>
      </c>
      <c r="G134" t="inlineStr">
        <is>
          <t>KUNGSBACKA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46261</v>
      </c>
      <c r="F135" t="inlineStr">
        <is>
          <t>HALLANDS LÄN</t>
        </is>
      </c>
      <c r="G135" t="inlineStr">
        <is>
          <t>KUNGSBACKA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45923</v>
      </c>
      <c r="E136" s="1" t="n">
        <v>46261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46261</v>
      </c>
      <c r="F137" t="inlineStr">
        <is>
          <t>HALLANDS LÄN</t>
        </is>
      </c>
      <c r="G137" t="inlineStr">
        <is>
          <t>KUNGSBACKA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46261</v>
      </c>
      <c r="F138" t="inlineStr">
        <is>
          <t>HALLANDS LÄN</t>
        </is>
      </c>
      <c r="G138" t="inlineStr">
        <is>
          <t>KUNGSBACKA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45875</v>
      </c>
      <c r="E139" s="1" t="n">
        <v>46261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46261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18077-2026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46125</v>
      </c>
      <c r="E141" s="1" t="n">
        <v>46261</v>
      </c>
      <c r="F141" t="inlineStr">
        <is>
          <t>HALLANDS LÄN</t>
        </is>
      </c>
      <c r="G141" t="inlineStr">
        <is>
          <t>KUNGSBACKA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46261</v>
      </c>
      <c r="F142" t="inlineStr">
        <is>
          <t>HALLANDS LÄN</t>
        </is>
      </c>
      <c r="G142" t="inlineStr">
        <is>
          <t>KUNGSBACKA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46261</v>
      </c>
      <c r="F143" t="inlineStr">
        <is>
          <t>HALLANDS LÄN</t>
        </is>
      </c>
      <c r="G143" t="inlineStr">
        <is>
          <t>KUNGSBACKA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46261</v>
      </c>
      <c r="F144" t="inlineStr">
        <is>
          <t>HALLANDS LÄN</t>
        </is>
      </c>
      <c r="G144" t="inlineStr">
        <is>
          <t>KUNGSBACKA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46261</v>
      </c>
      <c r="F145" t="inlineStr">
        <is>
          <t>HALLANDS LÄN</t>
        </is>
      </c>
      <c r="G145" t="inlineStr">
        <is>
          <t>KUNGSBACKA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46261</v>
      </c>
      <c r="F146" t="inlineStr">
        <is>
          <t>HALLANDS LÄN</t>
        </is>
      </c>
      <c r="G146" t="inlineStr">
        <is>
          <t>KUNGSBACKA</t>
        </is>
      </c>
      <c r="I146" t="n">
        <v>18.8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46261</v>
      </c>
      <c r="F147" t="inlineStr">
        <is>
          <t>HALLANDS LÄN</t>
        </is>
      </c>
      <c r="G147" t="inlineStr">
        <is>
          <t>KUNGSBACKA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55272-2025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45968</v>
      </c>
      <c r="E148" s="1" t="n">
        <v>46261</v>
      </c>
      <c r="F148" t="inlineStr">
        <is>
          <t>HALLANDS LÄN</t>
        </is>
      </c>
      <c r="G148" t="inlineStr">
        <is>
          <t>KUNGSBACKA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44925</v>
      </c>
      <c r="E149" s="1" t="n">
        <v>46261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45510</v>
      </c>
      <c r="E150" s="1" t="n">
        <v>46261</v>
      </c>
      <c r="F150" t="inlineStr">
        <is>
          <t>HALLANDS LÄN</t>
        </is>
      </c>
      <c r="G150" t="inlineStr">
        <is>
          <t>KUNGSBACKA</t>
        </is>
      </c>
      <c r="H150" t="inlineStr">
        <is>
          <t>Kyrkan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46261</v>
      </c>
      <c r="F151" t="inlineStr">
        <is>
          <t>HALLANDS LÄN</t>
        </is>
      </c>
      <c r="G151" t="inlineStr">
        <is>
          <t>KUNGSBACKA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46261</v>
      </c>
      <c r="F152" t="inlineStr">
        <is>
          <t>HALLANDS LÄN</t>
        </is>
      </c>
      <c r="G152" t="inlineStr">
        <is>
          <t>KUNGSBACKA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46261</v>
      </c>
      <c r="F153" t="inlineStr">
        <is>
          <t>HALLANDS LÄN</t>
        </is>
      </c>
      <c r="G153" t="inlineStr">
        <is>
          <t>KUNGSBACKA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45801</v>
      </c>
      <c r="E154" s="1" t="n">
        <v>46261</v>
      </c>
      <c r="F154" t="inlineStr">
        <is>
          <t>HALLANDS LÄN</t>
        </is>
      </c>
      <c r="G154" t="inlineStr">
        <is>
          <t>KUNGSBACKA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46261</v>
      </c>
      <c r="F155" t="inlineStr">
        <is>
          <t>HALLANDS LÄN</t>
        </is>
      </c>
      <c r="G155" t="inlineStr">
        <is>
          <t>KUNGSBACKA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46261</v>
      </c>
      <c r="F156" t="inlineStr">
        <is>
          <t>HALLANDS LÄN</t>
        </is>
      </c>
      <c r="G156" t="inlineStr">
        <is>
          <t>KUNGSBACKA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46261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46261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46261</v>
      </c>
      <c r="F159" t="inlineStr">
        <is>
          <t>HALLANDS LÄN</t>
        </is>
      </c>
      <c r="G159" t="inlineStr">
        <is>
          <t>KUNGSBACKA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46261</v>
      </c>
      <c r="F160" t="inlineStr">
        <is>
          <t>HALLANDS LÄN</t>
        </is>
      </c>
      <c r="G160" t="inlineStr">
        <is>
          <t>KUNGSBACKA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46261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46261</v>
      </c>
      <c r="F162" t="inlineStr">
        <is>
          <t>HALLANDS LÄN</t>
        </is>
      </c>
      <c r="G162" t="inlineStr">
        <is>
          <t>KUNGSBACKA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46261</v>
      </c>
      <c r="F163" t="inlineStr">
        <is>
          <t>HALLANDS LÄN</t>
        </is>
      </c>
      <c r="G163" t="inlineStr">
        <is>
          <t>KUNGSBACKA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46261</v>
      </c>
      <c r="F164" t="inlineStr">
        <is>
          <t>HALLANDS LÄN</t>
        </is>
      </c>
      <c r="G164" t="inlineStr">
        <is>
          <t>KUNGSBACKA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45993</v>
      </c>
      <c r="E165" s="1" t="n">
        <v>46261</v>
      </c>
      <c r="F165" t="inlineStr">
        <is>
          <t>HALLANDS LÄN</t>
        </is>
      </c>
      <c r="G165" t="inlineStr">
        <is>
          <t>KUNGSBACKA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46261</v>
      </c>
      <c r="F166" t="inlineStr">
        <is>
          <t>HALLANDS LÄN</t>
        </is>
      </c>
      <c r="G166" t="inlineStr">
        <is>
          <t>KUNGSBACKA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44693</v>
      </c>
      <c r="E167" s="1" t="n">
        <v>46261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57709-2023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46261</v>
      </c>
      <c r="F168" t="inlineStr">
        <is>
          <t>HALLANDS LÄN</t>
        </is>
      </c>
      <c r="G168" t="inlineStr">
        <is>
          <t>KUNGSBACKA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45205</v>
      </c>
      <c r="E169" s="1" t="n">
        <v>46261</v>
      </c>
      <c r="F169" t="inlineStr">
        <is>
          <t>HALLANDS LÄN</t>
        </is>
      </c>
      <c r="G169" t="inlineStr">
        <is>
          <t>KUNGSBACKA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46261</v>
      </c>
      <c r="F170" t="inlineStr">
        <is>
          <t>HALLANDS LÄN</t>
        </is>
      </c>
      <c r="G170" t="inlineStr">
        <is>
          <t>KUNGSBACKA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46261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46261</v>
      </c>
      <c r="F172" t="inlineStr">
        <is>
          <t>HALLANDS LÄN</t>
        </is>
      </c>
      <c r="G172" t="inlineStr">
        <is>
          <t>KUNGSBACKA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46261</v>
      </c>
      <c r="F173" t="inlineStr">
        <is>
          <t>HALLANDS LÄN</t>
        </is>
      </c>
      <c r="G173" t="inlineStr">
        <is>
          <t>KUNGSBACKA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45691</v>
      </c>
      <c r="E174" s="1" t="n">
        <v>46261</v>
      </c>
      <c r="F174" t="inlineStr">
        <is>
          <t>HALLANDS LÄN</t>
        </is>
      </c>
      <c r="G174" t="inlineStr">
        <is>
          <t>KUNGSBACKA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10269-2023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46261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46261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46261</v>
      </c>
      <c r="F177" t="inlineStr">
        <is>
          <t>HALLANDS LÄN</t>
        </is>
      </c>
      <c r="G177" t="inlineStr">
        <is>
          <t>KUNGSBACKA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46261</v>
      </c>
      <c r="F178" t="inlineStr">
        <is>
          <t>HALLANDS LÄN</t>
        </is>
      </c>
      <c r="G178" t="inlineStr">
        <is>
          <t>KUNGSBACKA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45008</v>
      </c>
      <c r="E179" s="1" t="n">
        <v>46261</v>
      </c>
      <c r="F179" t="inlineStr">
        <is>
          <t>HALLANDS LÄN</t>
        </is>
      </c>
      <c r="G179" t="inlineStr">
        <is>
          <t>KUNGSBACKA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44674-2025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45917</v>
      </c>
      <c r="E180" s="1" t="n">
        <v>46261</v>
      </c>
      <c r="F180" t="inlineStr">
        <is>
          <t>HALLANDS LÄN</t>
        </is>
      </c>
      <c r="G180" t="inlineStr">
        <is>
          <t>KUNGSBACKA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46261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46261</v>
      </c>
      <c r="F182" t="inlineStr">
        <is>
          <t>HALLANDS LÄN</t>
        </is>
      </c>
      <c r="G182" t="inlineStr">
        <is>
          <t>KUNGSBACKA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45461</v>
      </c>
      <c r="E183" s="1" t="n">
        <v>46261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45881</v>
      </c>
      <c r="E184" s="1" t="n">
        <v>46261</v>
      </c>
      <c r="F184" t="inlineStr">
        <is>
          <t>HALLANDS LÄN</t>
        </is>
      </c>
      <c r="G184" t="inlineStr">
        <is>
          <t>KUNGSBACKA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46261</v>
      </c>
      <c r="F185" t="inlineStr">
        <is>
          <t>HALLANDS LÄN</t>
        </is>
      </c>
      <c r="G185" t="inlineStr">
        <is>
          <t>KUNGSBACKA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46261</v>
      </c>
      <c r="F186" t="inlineStr">
        <is>
          <t>HALLANDS LÄN</t>
        </is>
      </c>
      <c r="G186" t="inlineStr">
        <is>
          <t>KUNGSBACKA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46261</v>
      </c>
      <c r="F187" t="inlineStr">
        <is>
          <t>HALLANDS LÄN</t>
        </is>
      </c>
      <c r="G187" t="inlineStr">
        <is>
          <t>KUNGSBACKA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46261</v>
      </c>
      <c r="F188" t="inlineStr">
        <is>
          <t>HALLANDS LÄN</t>
        </is>
      </c>
      <c r="G188" t="inlineStr">
        <is>
          <t>KUNGSBACKA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46261</v>
      </c>
      <c r="F189" t="inlineStr">
        <is>
          <t>HALLANDS LÄN</t>
        </is>
      </c>
      <c r="G189" t="inlineStr">
        <is>
          <t>KUNGSBACKA</t>
        </is>
      </c>
      <c r="H189" t="inlineStr">
        <is>
          <t>Kyrkan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46261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46261</v>
      </c>
      <c r="F191" t="inlineStr">
        <is>
          <t>HALLANDS LÄN</t>
        </is>
      </c>
      <c r="G191" t="inlineStr">
        <is>
          <t>KUNGSBACKA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46261</v>
      </c>
      <c r="F192" t="inlineStr">
        <is>
          <t>HALLANDS LÄN</t>
        </is>
      </c>
      <c r="G192" t="inlineStr">
        <is>
          <t>KUNGSBACKA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46261</v>
      </c>
      <c r="F193" t="inlineStr">
        <is>
          <t>HALLANDS LÄN</t>
        </is>
      </c>
      <c r="G193" t="inlineStr">
        <is>
          <t>KUNGSBACKA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46261</v>
      </c>
      <c r="F194" t="inlineStr">
        <is>
          <t>HALLANDS LÄN</t>
        </is>
      </c>
      <c r="G194" t="inlineStr">
        <is>
          <t>KUNGSBACKA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45743</v>
      </c>
      <c r="E195" s="1" t="n">
        <v>46261</v>
      </c>
      <c r="F195" t="inlineStr">
        <is>
          <t>HALLANDS LÄN</t>
        </is>
      </c>
      <c r="G195" t="inlineStr">
        <is>
          <t>KUNGSBACKA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46176</v>
      </c>
      <c r="E196" s="1" t="n">
        <v>46261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46176</v>
      </c>
      <c r="E197" s="1" t="n">
        <v>46261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25351-2026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46176</v>
      </c>
      <c r="E198" s="1" t="n">
        <v>46261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25337-2026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46176</v>
      </c>
      <c r="E199" s="1" t="n">
        <v>46261</v>
      </c>
      <c r="F199" t="inlineStr">
        <is>
          <t>HALLANDS LÄN</t>
        </is>
      </c>
      <c r="G199" t="inlineStr">
        <is>
          <t>KUNGSBACKA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46261</v>
      </c>
      <c r="F200" t="inlineStr">
        <is>
          <t>HALLANDS LÄN</t>
        </is>
      </c>
      <c r="G200" t="inlineStr">
        <is>
          <t>KUNGSBACKA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45729</v>
      </c>
      <c r="E201" s="1" t="n">
        <v>46261</v>
      </c>
      <c r="F201" t="inlineStr">
        <is>
          <t>HALLANDS LÄN</t>
        </is>
      </c>
      <c r="G201" t="inlineStr">
        <is>
          <t>KUNGSBACKA</t>
        </is>
      </c>
      <c r="H201" t="inlineStr">
        <is>
          <t>Övriga Aktiebolag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46261</v>
      </c>
      <c r="F202" t="inlineStr">
        <is>
          <t>HALLANDS LÄN</t>
        </is>
      </c>
      <c r="G202" t="inlineStr">
        <is>
          <t>KUNGSBACKA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45078</v>
      </c>
      <c r="E203" s="1" t="n">
        <v>46261</v>
      </c>
      <c r="F203" t="inlineStr">
        <is>
          <t>HALLANDS LÄN</t>
        </is>
      </c>
      <c r="G203" t="inlineStr">
        <is>
          <t>KUNGSBACKA</t>
        </is>
      </c>
      <c r="H203" t="inlineStr">
        <is>
          <t>Övriga Aktiebolag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9965-2025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45719</v>
      </c>
      <c r="E204" s="1" t="n">
        <v>46261</v>
      </c>
      <c r="F204" t="inlineStr">
        <is>
          <t>HALLANDS LÄN</t>
        </is>
      </c>
      <c r="G204" t="inlineStr">
        <is>
          <t>KUNGSBACKA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9976-2025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45719</v>
      </c>
      <c r="E205" s="1" t="n">
        <v>46261</v>
      </c>
      <c r="F205" t="inlineStr">
        <is>
          <t>HALLANDS LÄN</t>
        </is>
      </c>
      <c r="G205" t="inlineStr">
        <is>
          <t>KUNGSBACKA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46184</v>
      </c>
      <c r="E206" s="1" t="n">
        <v>46261</v>
      </c>
      <c r="F206" t="inlineStr">
        <is>
          <t>HALLANDS LÄN</t>
        </is>
      </c>
      <c r="G206" t="inlineStr">
        <is>
          <t>KUNGSBACKA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46261</v>
      </c>
      <c r="F207" t="inlineStr">
        <is>
          <t>HALLANDS LÄN</t>
        </is>
      </c>
      <c r="G207" t="inlineStr">
        <is>
          <t>KUNGSBACKA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46261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46261</v>
      </c>
      <c r="F209" t="inlineStr">
        <is>
          <t>HALLANDS LÄN</t>
        </is>
      </c>
      <c r="G209" t="inlineStr">
        <is>
          <t>KUNGSBACKA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46261</v>
      </c>
      <c r="F210" t="inlineStr">
        <is>
          <t>HALLANDS LÄN</t>
        </is>
      </c>
      <c r="G210" t="inlineStr">
        <is>
          <t>KUNGSBACKA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46184</v>
      </c>
      <c r="E211" s="1" t="n">
        <v>46261</v>
      </c>
      <c r="F211" t="inlineStr">
        <is>
          <t>HALLANDS LÄN</t>
        </is>
      </c>
      <c r="G211" t="inlineStr">
        <is>
          <t>KUNGSBACKA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46261</v>
      </c>
      <c r="F212" t="inlineStr">
        <is>
          <t>HALLANDS LÄN</t>
        </is>
      </c>
      <c r="G212" t="inlineStr">
        <is>
          <t>KUNGSBACKA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46261</v>
      </c>
      <c r="F213" t="inlineStr">
        <is>
          <t>HALLANDS LÄN</t>
        </is>
      </c>
      <c r="G213" t="inlineStr">
        <is>
          <t>KUNGSBACKA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46184</v>
      </c>
      <c r="E214" s="1" t="n">
        <v>46261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46232</v>
      </c>
      <c r="E215" s="1" t="n">
        <v>46261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46261</v>
      </c>
      <c r="F216" t="inlineStr">
        <is>
          <t>HALLANDS LÄN</t>
        </is>
      </c>
      <c r="G216" t="inlineStr">
        <is>
          <t>KUNGSBACKA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16075-2025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45749</v>
      </c>
      <c r="E217" s="1" t="n">
        <v>46261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45461</v>
      </c>
      <c r="E218" s="1" t="n">
        <v>46261</v>
      </c>
      <c r="F218" t="inlineStr">
        <is>
          <t>HALLANDS LÄN</t>
        </is>
      </c>
      <c r="G218" t="inlineStr">
        <is>
          <t>KUNGSBACKA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46261</v>
      </c>
      <c r="F219" t="inlineStr">
        <is>
          <t>HALLANDS LÄN</t>
        </is>
      </c>
      <c r="G219" t="inlineStr">
        <is>
          <t>KUNGSBACKA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53378-2021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44468</v>
      </c>
      <c r="E220" s="1" t="n">
        <v>46261</v>
      </c>
      <c r="F220" t="inlineStr">
        <is>
          <t>HALLANDS LÄN</t>
        </is>
      </c>
      <c r="G220" t="inlineStr">
        <is>
          <t>KUNGSBACKA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46261</v>
      </c>
      <c r="F221" t="inlineStr">
        <is>
          <t>HALLANDS LÄN</t>
        </is>
      </c>
      <c r="G221" t="inlineStr">
        <is>
          <t>KUNGSBACKA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44851</v>
      </c>
      <c r="E222" s="1" t="n">
        <v>46261</v>
      </c>
      <c r="F222" t="inlineStr">
        <is>
          <t>HALLANDS LÄN</t>
        </is>
      </c>
      <c r="G222" t="inlineStr">
        <is>
          <t>KUNGSBACKA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46261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46261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46261</v>
      </c>
      <c r="F225" t="inlineStr">
        <is>
          <t>HALLANDS LÄN</t>
        </is>
      </c>
      <c r="G225" t="inlineStr">
        <is>
          <t>KUNGSBACKA</t>
        </is>
      </c>
      <c r="I225" t="n">
        <v>15.2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45656</v>
      </c>
      <c r="E226" s="1" t="n">
        <v>46261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46261</v>
      </c>
      <c r="F227" t="inlineStr">
        <is>
          <t>HALLANDS LÄN</t>
        </is>
      </c>
      <c r="G227" t="inlineStr">
        <is>
          <t>KUNGSBACKA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46261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45329</v>
      </c>
      <c r="E229" s="1" t="n">
        <v>46261</v>
      </c>
      <c r="F229" t="inlineStr">
        <is>
          <t>HALLANDS LÄN</t>
        </is>
      </c>
      <c r="G229" t="inlineStr">
        <is>
          <t>KUNGSBACKA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17293-2025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45756</v>
      </c>
      <c r="E230" s="1" t="n">
        <v>46261</v>
      </c>
      <c r="F230" t="inlineStr">
        <is>
          <t>HALLANDS LÄN</t>
        </is>
      </c>
      <c r="G230" t="inlineStr">
        <is>
          <t>KUNGSBACKA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46261</v>
      </c>
      <c r="F231" t="inlineStr">
        <is>
          <t>HALLANDS LÄN</t>
        </is>
      </c>
      <c r="G231" t="inlineStr">
        <is>
          <t>KUNGSBACKA</t>
        </is>
      </c>
      <c r="H231" t="inlineStr">
        <is>
          <t>Övriga Aktiebolag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45653</v>
      </c>
      <c r="E232" s="1" t="n">
        <v>46261</v>
      </c>
      <c r="F232" t="inlineStr">
        <is>
          <t>HALLANDS LÄN</t>
        </is>
      </c>
      <c r="G232" t="inlineStr">
        <is>
          <t>KUNGSBACKA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46261</v>
      </c>
      <c r="F233" t="inlineStr">
        <is>
          <t>HALLANDS LÄN</t>
        </is>
      </c>
      <c r="G233" t="inlineStr">
        <is>
          <t>KUNGSBACKA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44997</v>
      </c>
      <c r="E234" s="1" t="n">
        <v>46261</v>
      </c>
      <c r="F234" t="inlineStr">
        <is>
          <t>HALLANDS LÄN</t>
        </is>
      </c>
      <c r="G234" t="inlineStr">
        <is>
          <t>KUNGSBACKA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71676-2021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46261</v>
      </c>
      <c r="F235" t="inlineStr">
        <is>
          <t>HALLANDS LÄN</t>
        </is>
      </c>
      <c r="G235" t="inlineStr">
        <is>
          <t>KUNGSBACKA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14898-2023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45014</v>
      </c>
      <c r="E236" s="1" t="n">
        <v>46261</v>
      </c>
      <c r="F236" t="inlineStr">
        <is>
          <t>HALLANDS LÄN</t>
        </is>
      </c>
      <c r="G236" t="inlineStr">
        <is>
          <t>KUNGSBACKA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45596</v>
      </c>
      <c r="E237" s="1" t="n">
        <v>46261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46258</v>
      </c>
      <c r="E238" s="1" t="n">
        <v>46261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46258</v>
      </c>
      <c r="E239" s="1" t="n">
        <v>46261</v>
      </c>
      <c r="F239" t="inlineStr">
        <is>
          <t>HALLANDS LÄN</t>
        </is>
      </c>
      <c r="G239" t="inlineStr">
        <is>
          <t>KUNGSBACKA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46261</v>
      </c>
      <c r="F240" t="inlineStr">
        <is>
          <t>HALLANDS LÄN</t>
        </is>
      </c>
      <c r="G240" t="inlineStr">
        <is>
          <t>KUNGSBACKA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46260</v>
      </c>
      <c r="E241" s="1" t="n">
        <v>46261</v>
      </c>
      <c r="F241" t="inlineStr">
        <is>
          <t>HALLANDS LÄN</t>
        </is>
      </c>
      <c r="G241" t="inlineStr">
        <is>
          <t>KUNGSBACKA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46261</v>
      </c>
      <c r="F242" t="inlineStr">
        <is>
          <t>HALLANDS LÄN</t>
        </is>
      </c>
      <c r="G242" t="inlineStr">
        <is>
          <t>KUNGSBACKA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46261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46261</v>
      </c>
      <c r="F244" t="inlineStr">
        <is>
          <t>HALLANDS LÄN</t>
        </is>
      </c>
      <c r="G244" t="inlineStr">
        <is>
          <t>KUNGSBACKA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46261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45275</v>
      </c>
      <c r="E246" s="1" t="n">
        <v>46261</v>
      </c>
      <c r="F246" t="inlineStr">
        <is>
          <t>HALLANDS LÄN</t>
        </is>
      </c>
      <c r="G246" t="inlineStr">
        <is>
          <t>KUNGSBACKA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44999</v>
      </c>
      <c r="E247" s="1" t="n">
        <v>46261</v>
      </c>
      <c r="F247" t="inlineStr">
        <is>
          <t>HALLANDS LÄN</t>
        </is>
      </c>
      <c r="G247" t="inlineStr">
        <is>
          <t>KUNGSBACKA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46261</v>
      </c>
      <c r="F248" t="inlineStr">
        <is>
          <t>HALLANDS LÄN</t>
        </is>
      </c>
      <c r="G248" t="inlineStr">
        <is>
          <t>KUNGSBACKA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46261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46261</v>
      </c>
      <c r="F250" t="inlineStr">
        <is>
          <t>HALLANDS LÄN</t>
        </is>
      </c>
      <c r="G250" t="inlineStr">
        <is>
          <t>KUNGSBACKA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46261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46261</v>
      </c>
      <c r="F252" t="inlineStr">
        <is>
          <t>HALLANDS LÄN</t>
        </is>
      </c>
      <c r="G252" t="inlineStr">
        <is>
          <t>KUNGSBACKA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45656</v>
      </c>
      <c r="E253" s="1" t="n">
        <v>46261</v>
      </c>
      <c r="F253" t="inlineStr">
        <is>
          <t>HALLANDS LÄN</t>
        </is>
      </c>
      <c r="G253" t="inlineStr">
        <is>
          <t>KUNGSBACKA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45366</v>
      </c>
      <c r="E254" s="1" t="n">
        <v>46261</v>
      </c>
      <c r="F254" t="inlineStr">
        <is>
          <t>HALLANDS LÄN</t>
        </is>
      </c>
      <c r="G254" t="inlineStr">
        <is>
          <t>KUNGSBACKA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46261</v>
      </c>
      <c r="F255" t="inlineStr">
        <is>
          <t>HALLANDS LÄN</t>
        </is>
      </c>
      <c r="G255" t="inlineStr">
        <is>
          <t>KUNGSBACKA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46261</v>
      </c>
      <c r="F256" t="inlineStr">
        <is>
          <t>HALLANDS LÄN</t>
        </is>
      </c>
      <c r="G256" t="inlineStr">
        <is>
          <t>KUNGSBACKA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44789</v>
      </c>
      <c r="E257" s="1" t="n">
        <v>46261</v>
      </c>
      <c r="F257" t="inlineStr">
        <is>
          <t>HALLANDS LÄN</t>
        </is>
      </c>
      <c r="G257" t="inlineStr">
        <is>
          <t>KUNGSBACKA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45706</v>
      </c>
      <c r="E258" s="1" t="n">
        <v>46261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44613</v>
      </c>
      <c r="E259" s="1" t="n">
        <v>46261</v>
      </c>
      <c r="F259" t="inlineStr">
        <is>
          <t>HALLANDS LÄN</t>
        </is>
      </c>
      <c r="G259" t="inlineStr">
        <is>
          <t>KUNGSBACKA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44773</v>
      </c>
      <c r="E260" s="1" t="n">
        <v>46261</v>
      </c>
      <c r="F260" t="inlineStr">
        <is>
          <t>HALLANDS LÄN</t>
        </is>
      </c>
      <c r="G260" t="inlineStr">
        <is>
          <t>KUNGSBACKA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46261</v>
      </c>
      <c r="F261" t="inlineStr">
        <is>
          <t>HALLANDS LÄN</t>
        </is>
      </c>
      <c r="G261" t="inlineStr">
        <is>
          <t>KUNGSBACKA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45632</v>
      </c>
      <c r="E262" s="1" t="n">
        <v>46261</v>
      </c>
      <c r="F262" t="inlineStr">
        <is>
          <t>HALLANDS LÄN</t>
        </is>
      </c>
      <c r="G262" t="inlineStr">
        <is>
          <t>KUNGSBACKA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46261</v>
      </c>
      <c r="F263" t="inlineStr">
        <is>
          <t>HALLANDS LÄN</t>
        </is>
      </c>
      <c r="G263" t="inlineStr">
        <is>
          <t>KUNGSBACKA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44726</v>
      </c>
      <c r="E264" s="1" t="n">
        <v>46261</v>
      </c>
      <c r="F264" t="inlineStr">
        <is>
          <t>HALLANDS LÄN</t>
        </is>
      </c>
      <c r="G264" t="inlineStr">
        <is>
          <t>KUNGSBACKA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10124-2025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45719</v>
      </c>
      <c r="E265" s="1" t="n">
        <v>46261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10140-2025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45719</v>
      </c>
      <c r="E266" s="1" t="n">
        <v>46261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46261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46261</v>
      </c>
      <c r="F268" t="inlineStr">
        <is>
          <t>HALLANDS LÄN</t>
        </is>
      </c>
      <c r="G268" t="inlineStr">
        <is>
          <t>KUNGSBACKA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44925</v>
      </c>
      <c r="E269" s="1" t="n">
        <v>46261</v>
      </c>
      <c r="F269" t="inlineStr">
        <is>
          <t>HALLANDS LÄN</t>
        </is>
      </c>
      <c r="G269" t="inlineStr">
        <is>
          <t>KUNGSBACKA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46261</v>
      </c>
      <c r="F270" t="inlineStr">
        <is>
          <t>HALLANDS LÄN</t>
        </is>
      </c>
      <c r="G270" t="inlineStr">
        <is>
          <t>KUNGSBACKA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46261</v>
      </c>
      <c r="F271" t="inlineStr">
        <is>
          <t>HALLANDS LÄN</t>
        </is>
      </c>
      <c r="G271" t="inlineStr">
        <is>
          <t>KUNGSBACKA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46261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46261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45525</v>
      </c>
      <c r="E274" s="1" t="n">
        <v>46261</v>
      </c>
      <c r="F274" t="inlineStr">
        <is>
          <t>HALLANDS LÄN</t>
        </is>
      </c>
      <c r="G274" t="inlineStr">
        <is>
          <t>KUNGSBACKA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46261</v>
      </c>
      <c r="F275" t="inlineStr">
        <is>
          <t>HALLANDS LÄN</t>
        </is>
      </c>
      <c r="G275" t="inlineStr">
        <is>
          <t>KUNGSBACKA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11068-2023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46261</v>
      </c>
      <c r="F276" t="inlineStr">
        <is>
          <t>HALLANDS LÄN</t>
        </is>
      </c>
      <c r="G276" t="inlineStr">
        <is>
          <t>KUNGSBACKA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46261</v>
      </c>
      <c r="F277" t="inlineStr">
        <is>
          <t>HALLANDS LÄN</t>
        </is>
      </c>
      <c r="G277" t="inlineStr">
        <is>
          <t>KUNGSBACKA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46261</v>
      </c>
      <c r="F278" t="inlineStr">
        <is>
          <t>HALLANDS LÄN</t>
        </is>
      </c>
      <c r="G278" t="inlineStr">
        <is>
          <t>KUNGSBACKA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44775</v>
      </c>
      <c r="E279" s="1" t="n">
        <v>46261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44895</v>
      </c>
      <c r="E280" s="1" t="n">
        <v>46261</v>
      </c>
      <c r="F280" t="inlineStr">
        <is>
          <t>HALLANDS LÄN</t>
        </is>
      </c>
      <c r="G280" t="inlineStr">
        <is>
          <t>KUNGSBACKA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46261</v>
      </c>
      <c r="F281" t="inlineStr">
        <is>
          <t>HALLANDS LÄN</t>
        </is>
      </c>
      <c r="G281" t="inlineStr">
        <is>
          <t>KUNGSBACKA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45359</v>
      </c>
      <c r="E282" s="1" t="n">
        <v>46261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45323</v>
      </c>
      <c r="E283" s="1" t="n">
        <v>46261</v>
      </c>
      <c r="F283" t="inlineStr">
        <is>
          <t>HALLANDS LÄN</t>
        </is>
      </c>
      <c r="G283" t="inlineStr">
        <is>
          <t>KUNGSBACKA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46261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28529-2022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44748</v>
      </c>
      <c r="E285" s="1" t="n">
        <v>46261</v>
      </c>
      <c r="F285" t="inlineStr">
        <is>
          <t>HALLANDS LÄN</t>
        </is>
      </c>
      <c r="G285" t="inlineStr">
        <is>
          <t>KUNGSBACKA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51331-2022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44869</v>
      </c>
      <c r="E286" s="1" t="n">
        <v>46261</v>
      </c>
      <c r="F286" t="inlineStr">
        <is>
          <t>HALLANDS LÄN</t>
        </is>
      </c>
      <c r="G286" t="inlineStr">
        <is>
          <t>KUNGSBACKA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45131</v>
      </c>
      <c r="E287" s="1" t="n">
        <v>46261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46261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46261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46261</v>
      </c>
      <c r="F290" t="inlineStr">
        <is>
          <t>HALLANDS LÄN</t>
        </is>
      </c>
      <c r="G290" t="inlineStr">
        <is>
          <t>KUNGSBACKA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71891-2021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44543</v>
      </c>
      <c r="E291" s="1" t="n">
        <v>46261</v>
      </c>
      <c r="F291" t="inlineStr">
        <is>
          <t>HALLANDS LÄN</t>
        </is>
      </c>
      <c r="G291" t="inlineStr">
        <is>
          <t>KUNGSBACKA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45371</v>
      </c>
      <c r="E292" s="1" t="n">
        <v>46261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46261</v>
      </c>
      <c r="F293" t="inlineStr">
        <is>
          <t>HALLANDS LÄN</t>
        </is>
      </c>
      <c r="G293" t="inlineStr">
        <is>
          <t>KUNGSBACKA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46261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45398</v>
      </c>
      <c r="E295" s="1" t="n">
        <v>46261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46261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46261</v>
      </c>
      <c r="F297" t="inlineStr">
        <is>
          <t>HALLANDS LÄN</t>
        </is>
      </c>
      <c r="G297" t="inlineStr">
        <is>
          <t>KUNGSBACKA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45242</v>
      </c>
      <c r="E298" s="1" t="n">
        <v>46261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45242</v>
      </c>
      <c r="E299" s="1" t="n">
        <v>46261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45656</v>
      </c>
      <c r="E300" s="1" t="n">
        <v>46261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46261</v>
      </c>
      <c r="F301" t="inlineStr">
        <is>
          <t>HALLANDS LÄN</t>
        </is>
      </c>
      <c r="G301" t="inlineStr">
        <is>
          <t>KUNGSBACKA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46261</v>
      </c>
      <c r="F302" t="inlineStr">
        <is>
          <t>HALLANDS LÄN</t>
        </is>
      </c>
      <c r="G302" t="inlineStr">
        <is>
          <t>KUNGSBACKA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45188</v>
      </c>
      <c r="E303" s="1" t="n">
        <v>46261</v>
      </c>
      <c r="F303" t="inlineStr">
        <is>
          <t>HALLANDS LÄN</t>
        </is>
      </c>
      <c r="G303" t="inlineStr">
        <is>
          <t>KUNGSBACKA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48754-2023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45208</v>
      </c>
      <c r="E304" s="1" t="n">
        <v>46261</v>
      </c>
      <c r="F304" t="inlineStr">
        <is>
          <t>HALLANDS LÄN</t>
        </is>
      </c>
      <c r="G304" t="inlineStr">
        <is>
          <t>KUNGSBACKA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44777</v>
      </c>
      <c r="E305" s="1" t="n">
        <v>46261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46261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46261</v>
      </c>
      <c r="F307" t="inlineStr">
        <is>
          <t>HALLANDS LÄN</t>
        </is>
      </c>
      <c r="G307" t="inlineStr">
        <is>
          <t>KUNGSBACKA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46261</v>
      </c>
      <c r="F308" t="inlineStr">
        <is>
          <t>HALLANDS LÄN</t>
        </is>
      </c>
      <c r="G308" t="inlineStr">
        <is>
          <t>KUNGSBACKA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45653</v>
      </c>
      <c r="E309" s="1" t="n">
        <v>46261</v>
      </c>
      <c r="F309" t="inlineStr">
        <is>
          <t>HALLANDS LÄN</t>
        </is>
      </c>
      <c r="G309" t="inlineStr">
        <is>
          <t>KUNGSBACKA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46261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46261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46261</v>
      </c>
      <c r="F312" t="inlineStr">
        <is>
          <t>HALLANDS LÄN</t>
        </is>
      </c>
      <c r="G312" t="inlineStr">
        <is>
          <t>KUNGSBACKA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45253</v>
      </c>
      <c r="E313" s="1" t="n">
        <v>46261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46261</v>
      </c>
      <c r="F314" t="inlineStr">
        <is>
          <t>HALLANDS LÄN</t>
        </is>
      </c>
      <c r="G314" t="inlineStr">
        <is>
          <t>KUNGSBACKA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45323</v>
      </c>
      <c r="E315" s="1" t="n">
        <v>46261</v>
      </c>
      <c r="F315" t="inlineStr">
        <is>
          <t>HALLANDS LÄN</t>
        </is>
      </c>
      <c r="G315" t="inlineStr">
        <is>
          <t>KUNGSBACKA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46261</v>
      </c>
      <c r="F316" t="inlineStr">
        <is>
          <t>HALLANDS LÄN</t>
        </is>
      </c>
      <c r="G316" t="inlineStr">
        <is>
          <t>KUNGSBACKA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46261</v>
      </c>
      <c r="F317" t="inlineStr">
        <is>
          <t>HALLANDS LÄN</t>
        </is>
      </c>
      <c r="G317" t="inlineStr">
        <is>
          <t>KUNGSBACKA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46261</v>
      </c>
      <c r="F318" t="inlineStr">
        <is>
          <t>HALLANDS LÄN</t>
        </is>
      </c>
      <c r="G318" t="inlineStr">
        <is>
          <t>KUNGSBACKA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46261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2026-08-27T01:49:40Z</dcterms:created>
  <dcterms:modified xmlns:dcterms="http://purl.org/dc/terms/" xmlns:xsi="http://www.w3.org/2001/XMLSchema-instance" xsi:type="dcterms:W3CDTF">2026-08-27T01:49:40Z</dcterms:modified>
</cp:coreProperties>
</file>