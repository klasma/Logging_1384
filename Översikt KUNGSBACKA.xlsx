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45781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45781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45781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45781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45781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45781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45781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58-2025</t>
        </is>
      </c>
      <c r="B9" s="1" t="n">
        <v>45659</v>
      </c>
      <c r="C9" s="1" t="n">
        <v>45781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45781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52303-2020</t>
        </is>
      </c>
      <c r="B11" s="1" t="n">
        <v>44117</v>
      </c>
      <c r="C11" s="1" t="n">
        <v>45781</v>
      </c>
      <c r="D11" t="inlineStr">
        <is>
          <t>HALLANDS LÄN</t>
        </is>
      </c>
      <c r="E11" t="inlineStr">
        <is>
          <t>KUNGSBACKA</t>
        </is>
      </c>
      <c r="G11" t="n">
        <v>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HYPERLINK("https://klasma.github.io/Logging_1384/artfynd/A 52303-2020 artfynd.xlsx", "A 52303-2020")</f>
        <v/>
      </c>
      <c r="T11">
        <f>HYPERLINK("https://klasma.github.io/Logging_1384/kartor/A 52303-2020 karta.png", "A 52303-2020")</f>
        <v/>
      </c>
      <c r="V11">
        <f>HYPERLINK("https://klasma.github.io/Logging_1384/klagomål/A 52303-2020 FSC-klagomål.docx", "A 52303-2020")</f>
        <v/>
      </c>
      <c r="W11">
        <f>HYPERLINK("https://klasma.github.io/Logging_1384/klagomålsmail/A 52303-2020 FSC-klagomål mail.docx", "A 52303-2020")</f>
        <v/>
      </c>
      <c r="X11">
        <f>HYPERLINK("https://klasma.github.io/Logging_1384/tillsyn/A 52303-2020 tillsynsbegäran.docx", "A 52303-2020")</f>
        <v/>
      </c>
      <c r="Y11">
        <f>HYPERLINK("https://klasma.github.io/Logging_1384/tillsynsmail/A 52303-2020 tillsynsbegäran mail.docx", "A 52303-2020")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45781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45781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52318-2022</t>
        </is>
      </c>
      <c r="B14" s="1" t="n">
        <v>44873</v>
      </c>
      <c r="C14" s="1" t="n">
        <v>45781</v>
      </c>
      <c r="D14" t="inlineStr">
        <is>
          <t>HALLANDS LÄN</t>
        </is>
      </c>
      <c r="E14" t="inlineStr">
        <is>
          <t>KUNGSBACKA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HYPERLINK("https://klasma.github.io/Logging_1384/artfynd/A 52318-2022 artfynd.xlsx", "A 52318-2022")</f>
        <v/>
      </c>
      <c r="T14">
        <f>HYPERLINK("https://klasma.github.io/Logging_1384/kartor/A 52318-2022 karta.png", "A 52318-2022")</f>
        <v/>
      </c>
      <c r="V14">
        <f>HYPERLINK("https://klasma.github.io/Logging_1384/klagomål/A 52318-2022 FSC-klagomål.docx", "A 52318-2022")</f>
        <v/>
      </c>
      <c r="W14">
        <f>HYPERLINK("https://klasma.github.io/Logging_1384/klagomålsmail/A 52318-2022 FSC-klagomål mail.docx", "A 52318-2022")</f>
        <v/>
      </c>
      <c r="X14">
        <f>HYPERLINK("https://klasma.github.io/Logging_1384/tillsyn/A 52318-2022 tillsynsbegäran.docx", "A 52318-2022")</f>
        <v/>
      </c>
      <c r="Y14">
        <f>HYPERLINK("https://klasma.github.io/Logging_1384/tillsynsmail/A 52318-2022 tillsynsbegäran mail.docx", "A 52318-2022")</f>
        <v/>
      </c>
    </row>
    <row r="15" ht="15" customHeight="1">
      <c r="A15" t="inlineStr">
        <is>
          <t>A 9006-2023</t>
        </is>
      </c>
      <c r="B15" s="1" t="n">
        <v>44979</v>
      </c>
      <c r="C15" s="1" t="n">
        <v>45781</v>
      </c>
      <c r="D15" t="inlineStr">
        <is>
          <t>HALLANDS LÄN</t>
        </is>
      </c>
      <c r="E15" t="inlineStr">
        <is>
          <t>KUNGSBACKA</t>
        </is>
      </c>
      <c r="G15" t="n">
        <v>13.5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HYPERLINK("https://klasma.github.io/Logging_1384/artfynd/A 9006-2023 artfynd.xlsx", "A 9006-2023")</f>
        <v/>
      </c>
      <c r="T15">
        <f>HYPERLINK("https://klasma.github.io/Logging_1384/kartor/A 9006-2023 karta.png", "A 9006-2023")</f>
        <v/>
      </c>
      <c r="V15">
        <f>HYPERLINK("https://klasma.github.io/Logging_1384/klagomål/A 9006-2023 FSC-klagomål.docx", "A 9006-2023")</f>
        <v/>
      </c>
      <c r="W15">
        <f>HYPERLINK("https://klasma.github.io/Logging_1384/klagomålsmail/A 9006-2023 FSC-klagomål mail.docx", "A 9006-2023")</f>
        <v/>
      </c>
      <c r="X15">
        <f>HYPERLINK("https://klasma.github.io/Logging_1384/tillsyn/A 9006-2023 tillsynsbegäran.docx", "A 9006-2023")</f>
        <v/>
      </c>
      <c r="Y15">
        <f>HYPERLINK("https://klasma.github.io/Logging_1384/tillsynsmail/A 9006-2023 tillsynsbegäran mail.docx", "A 9006-2023")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45781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2988-2024</t>
        </is>
      </c>
      <c r="B17" s="1" t="n">
        <v>45315</v>
      </c>
      <c r="C17" s="1" t="n">
        <v>45781</v>
      </c>
      <c r="D17" t="inlineStr">
        <is>
          <t>HALLANDS LÄN</t>
        </is>
      </c>
      <c r="E17" t="inlineStr">
        <is>
          <t>KUNGSBACKA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HYPERLINK("https://klasma.github.io/Logging_1384/artfynd/A 2988-2024 artfynd.xlsx", "A 2988-2024")</f>
        <v/>
      </c>
      <c r="T17">
        <f>HYPERLINK("https://klasma.github.io/Logging_1384/kartor/A 2988-2024 karta.png", "A 2988-2024")</f>
        <v/>
      </c>
      <c r="V17">
        <f>HYPERLINK("https://klasma.github.io/Logging_1384/klagomål/A 2988-2024 FSC-klagomål.docx", "A 2988-2024")</f>
        <v/>
      </c>
      <c r="W17">
        <f>HYPERLINK("https://klasma.github.io/Logging_1384/klagomålsmail/A 2988-2024 FSC-klagomål mail.docx", "A 2988-2024")</f>
        <v/>
      </c>
      <c r="X17">
        <f>HYPERLINK("https://klasma.github.io/Logging_1384/tillsyn/A 2988-2024 tillsynsbegäran.docx", "A 2988-2024")</f>
        <v/>
      </c>
      <c r="Y17">
        <f>HYPERLINK("https://klasma.github.io/Logging_1384/tillsynsmail/A 2988-2024 tillsynsbegäran mail.docx", "A 2988-2024")</f>
        <v/>
      </c>
    </row>
    <row r="18" ht="15" customHeight="1">
      <c r="A18" t="inlineStr">
        <is>
          <t>A 34740-2024</t>
        </is>
      </c>
      <c r="B18" s="1" t="n">
        <v>45526</v>
      </c>
      <c r="C18" s="1" t="n">
        <v>45781</v>
      </c>
      <c r="D18" t="inlineStr">
        <is>
          <t>HALLANDS LÄN</t>
        </is>
      </c>
      <c r="E18" t="inlineStr">
        <is>
          <t>KUNGSBACKA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34740-2024 artfynd.xlsx", "A 34740-2024")</f>
        <v/>
      </c>
      <c r="T18">
        <f>HYPERLINK("https://klasma.github.io/Logging_1384/kartor/A 34740-2024 karta.png", "A 34740-2024")</f>
        <v/>
      </c>
      <c r="V18">
        <f>HYPERLINK("https://klasma.github.io/Logging_1384/klagomål/A 34740-2024 FSC-klagomål.docx", "A 34740-2024")</f>
        <v/>
      </c>
      <c r="W18">
        <f>HYPERLINK("https://klasma.github.io/Logging_1384/klagomålsmail/A 34740-2024 FSC-klagomål mail.docx", "A 34740-2024")</f>
        <v/>
      </c>
      <c r="X18">
        <f>HYPERLINK("https://klasma.github.io/Logging_1384/tillsyn/A 34740-2024 tillsynsbegäran.docx", "A 34740-2024")</f>
        <v/>
      </c>
      <c r="Y18">
        <f>HYPERLINK("https://klasma.github.io/Logging_1384/tillsynsmail/A 34740-2024 tillsynsbegäran mail.docx", "A 34740-2024")</f>
        <v/>
      </c>
    </row>
    <row r="19" ht="15" customHeight="1">
      <c r="A19" t="inlineStr">
        <is>
          <t>A 34772-2024</t>
        </is>
      </c>
      <c r="B19" s="1" t="n">
        <v>45526</v>
      </c>
      <c r="C19" s="1" t="n">
        <v>45781</v>
      </c>
      <c r="D19" t="inlineStr">
        <is>
          <t>HALLANDS LÄN</t>
        </is>
      </c>
      <c r="E19" t="inlineStr">
        <is>
          <t>KUNGSBACKA</t>
        </is>
      </c>
      <c r="G19" t="n">
        <v>13.2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34772-2024 artfynd.xlsx", "A 34772-2024")</f>
        <v/>
      </c>
      <c r="T19">
        <f>HYPERLINK("https://klasma.github.io/Logging_1384/kartor/A 34772-2024 karta.png", "A 34772-2024")</f>
        <v/>
      </c>
      <c r="V19">
        <f>HYPERLINK("https://klasma.github.io/Logging_1384/klagomål/A 34772-2024 FSC-klagomål.docx", "A 34772-2024")</f>
        <v/>
      </c>
      <c r="W19">
        <f>HYPERLINK("https://klasma.github.io/Logging_1384/klagomålsmail/A 34772-2024 FSC-klagomål mail.docx", "A 34772-2024")</f>
        <v/>
      </c>
      <c r="X19">
        <f>HYPERLINK("https://klasma.github.io/Logging_1384/tillsyn/A 34772-2024 tillsynsbegäran.docx", "A 34772-2024")</f>
        <v/>
      </c>
      <c r="Y19">
        <f>HYPERLINK("https://klasma.github.io/Logging_1384/tillsynsmail/A 34772-2024 tillsynsbegäran mail.docx", "A 34772-2024")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45781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45781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45781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45781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45781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45781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45781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45781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45781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45781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45781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45781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45781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45781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45781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45781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45781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45781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45781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45781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45781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45781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45781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45781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45781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45781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45781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45781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45781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45781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45781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45781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45781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45781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45781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45781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45781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45781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45781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45781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45781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45781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45781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45781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45781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45781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45781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45781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45781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45781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45781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45781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45781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45781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45781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45781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45781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45781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45781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45781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45781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45781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45781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45781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45781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45781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45781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45781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45781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45781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45781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45781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45781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45781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45781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45781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45781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45781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45781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45781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45781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45781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45781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45781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45781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45781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45781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45781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45781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45781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45781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45781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45781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45781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45781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45781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45781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45781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45781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45781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45781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45781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45781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45781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45781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45781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45781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45781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45781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45781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45781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45781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45781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45781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45781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45781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45781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45781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45781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45781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45781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45781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45781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45781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45781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45781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45781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45781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45781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45781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45781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45781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45781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45781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45781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45781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45781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45781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45781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45781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45781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45781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45781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45781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45781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45781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45781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45781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45781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45781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45781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45781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45781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45781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45781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45781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45781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45781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45781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45781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45781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45781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45781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45781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45781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45781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45781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45781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45781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45781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45781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45781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45781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45781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45781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45781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45781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45781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45781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45781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45781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45781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45781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45781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45781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45781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45781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45781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45781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45781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45781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45781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45781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45781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45781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45781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45781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45781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45781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45781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45781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45781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45781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45781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45781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45781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45781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45781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45781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45781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45781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45781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45781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45781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45781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45781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45781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45781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45781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45781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45781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45781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45781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45781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45781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45781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45781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45781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45781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45781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45781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45781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45781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45781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45781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45781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45781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45781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45781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45781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45781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45781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45781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45781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45781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45781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45781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45781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45781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45781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45781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45781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45781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45781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45781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45781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45781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45781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45781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45781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45781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45781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45781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45781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45781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45781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45781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45781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45781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45781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45781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45781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45781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45781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45781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45781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45781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45781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45781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45781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45781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45781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45781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45781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45781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45781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45781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45781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45781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45781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45781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45781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45781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45781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45781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45781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45781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45781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45781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45781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45781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45781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45781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45781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45781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45781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45781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45781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45781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45781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45781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45781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45781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45781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45781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45781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45781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45781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45781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45781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45781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45781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45781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45781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45781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45781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45781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45781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45781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45781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45781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45781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45781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45781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45781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45781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45781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45781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45781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45781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45781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45781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45781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45781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45781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45781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45781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45781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45781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45781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45781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45781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45781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45781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45781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45781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45781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45781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45781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45781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45781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45781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45781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45781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45781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45781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45781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45781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45781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45781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45781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45781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45781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45781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45781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45781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45781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45781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45781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45781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45781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45781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45781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45781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45781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45781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45781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45781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45781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45781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45781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45781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45781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45781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45781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45781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45781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45781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45781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45781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45781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45781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45781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45781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45781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45781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45781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45781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45781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45781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45781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45781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45781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45781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45781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45781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45781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45781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45781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45781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45781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45781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45781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45781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45781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45781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45781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45781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45781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45781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45781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45781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45781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45781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45781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45781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45781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45781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45781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45781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45781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45781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45781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45781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45781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45781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45781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45781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45781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45781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45781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45781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45781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45781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45781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45781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45781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45781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45781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45781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45781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45781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45781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45781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45781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45781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45781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45781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45781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45781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45781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45781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45781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45781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45781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45781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45781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45781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45781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45781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45781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45781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45781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45781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45781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45781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45781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45781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15074-2025</t>
        </is>
      </c>
      <c r="B508" s="1" t="n">
        <v>45743</v>
      </c>
      <c r="C508" s="1" t="n">
        <v>45781</v>
      </c>
      <c r="D508" t="inlineStr">
        <is>
          <t>HALLANDS LÄN</t>
        </is>
      </c>
      <c r="E508" t="inlineStr">
        <is>
          <t>KUNGSBACKA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15076-2025</t>
        </is>
      </c>
      <c r="B509" s="1" t="n">
        <v>45743</v>
      </c>
      <c r="C509" s="1" t="n">
        <v>45781</v>
      </c>
      <c r="D509" t="inlineStr">
        <is>
          <t>HALLANDS LÄN</t>
        </is>
      </c>
      <c r="E509" t="inlineStr">
        <is>
          <t>KUNGSBACKA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15062-2025</t>
        </is>
      </c>
      <c r="B510" s="1" t="n">
        <v>45743</v>
      </c>
      <c r="C510" s="1" t="n">
        <v>45781</v>
      </c>
      <c r="D510" t="inlineStr">
        <is>
          <t>HALLANDS LÄN</t>
        </is>
      </c>
      <c r="E510" t="inlineStr">
        <is>
          <t>KUNGSBACKA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45781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15096-2025</t>
        </is>
      </c>
      <c r="B512" s="1" t="n">
        <v>45744</v>
      </c>
      <c r="C512" s="1" t="n">
        <v>45781</v>
      </c>
      <c r="D512" t="inlineStr">
        <is>
          <t>HALLANDS LÄN</t>
        </is>
      </c>
      <c r="E512" t="inlineStr">
        <is>
          <t>KUNGSBACKA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15110-2025</t>
        </is>
      </c>
      <c r="B513" s="1" t="n">
        <v>45744</v>
      </c>
      <c r="C513" s="1" t="n">
        <v>45781</v>
      </c>
      <c r="D513" t="inlineStr">
        <is>
          <t>HALLANDS LÄN</t>
        </is>
      </c>
      <c r="E513" t="inlineStr">
        <is>
          <t>KUNGSBACKA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15093-2025</t>
        </is>
      </c>
      <c r="B514" s="1" t="n">
        <v>45744</v>
      </c>
      <c r="C514" s="1" t="n">
        <v>45781</v>
      </c>
      <c r="D514" t="inlineStr">
        <is>
          <t>HALLANDS LÄN</t>
        </is>
      </c>
      <c r="E514" t="inlineStr">
        <is>
          <t>KUNGSBACKA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16045-2025</t>
        </is>
      </c>
      <c r="B515" s="1" t="n">
        <v>45749</v>
      </c>
      <c r="C515" s="1" t="n">
        <v>45781</v>
      </c>
      <c r="D515" t="inlineStr">
        <is>
          <t>HALLANDS LÄN</t>
        </is>
      </c>
      <c r="E515" t="inlineStr">
        <is>
          <t>KUNGSBACKA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16041-2025</t>
        </is>
      </c>
      <c r="B516" s="1" t="n">
        <v>45749</v>
      </c>
      <c r="C516" s="1" t="n">
        <v>45781</v>
      </c>
      <c r="D516" t="inlineStr">
        <is>
          <t>HALLANDS LÄN</t>
        </is>
      </c>
      <c r="E516" t="inlineStr">
        <is>
          <t>KUNGSBACKA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16075-2025</t>
        </is>
      </c>
      <c r="B517" s="1" t="n">
        <v>45749</v>
      </c>
      <c r="C517" s="1" t="n">
        <v>45781</v>
      </c>
      <c r="D517" t="inlineStr">
        <is>
          <t>HALLANDS LÄN</t>
        </is>
      </c>
      <c r="E517" t="inlineStr">
        <is>
          <t>KUNGSBACKA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16076-2025</t>
        </is>
      </c>
      <c r="B518" s="1" t="n">
        <v>45749</v>
      </c>
      <c r="C518" s="1" t="n">
        <v>45781</v>
      </c>
      <c r="D518" t="inlineStr">
        <is>
          <t>HALLANDS LÄN</t>
        </is>
      </c>
      <c r="E518" t="inlineStr">
        <is>
          <t>KUNGSBACKA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16073-2025</t>
        </is>
      </c>
      <c r="B519" s="1" t="n">
        <v>45749</v>
      </c>
      <c r="C519" s="1" t="n">
        <v>45781</v>
      </c>
      <c r="D519" t="inlineStr">
        <is>
          <t>HALLANDS LÄN</t>
        </is>
      </c>
      <c r="E519" t="inlineStr">
        <is>
          <t>KUNGSBACKA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45781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45781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17293-2025</t>
        </is>
      </c>
      <c r="B522" s="1" t="n">
        <v>45756</v>
      </c>
      <c r="C522" s="1" t="n">
        <v>45781</v>
      </c>
      <c r="D522" t="inlineStr">
        <is>
          <t>HALLANDS LÄN</t>
        </is>
      </c>
      <c r="E522" t="inlineStr">
        <is>
          <t>KUNGSBACKA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17212-2025</t>
        </is>
      </c>
      <c r="B523" s="1" t="n">
        <v>45756</v>
      </c>
      <c r="C523" s="1" t="n">
        <v>45781</v>
      </c>
      <c r="D523" t="inlineStr">
        <is>
          <t>HALLANDS LÄN</t>
        </is>
      </c>
      <c r="E523" t="inlineStr">
        <is>
          <t>KUNGSBACKA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17151-2025</t>
        </is>
      </c>
      <c r="B524" s="1" t="n">
        <v>45756</v>
      </c>
      <c r="C524" s="1" t="n">
        <v>45781</v>
      </c>
      <c r="D524" t="inlineStr">
        <is>
          <t>HALLANDS LÄN</t>
        </is>
      </c>
      <c r="E524" t="inlineStr">
        <is>
          <t>KUNGSBACKA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17981-2025</t>
        </is>
      </c>
      <c r="B525" s="1" t="n">
        <v>45761</v>
      </c>
      <c r="C525" s="1" t="n">
        <v>45781</v>
      </c>
      <c r="D525" t="inlineStr">
        <is>
          <t>HALLANDS LÄN</t>
        </is>
      </c>
      <c r="E525" t="inlineStr">
        <is>
          <t>KUNGSBACKA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45781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20781-2025</t>
        </is>
      </c>
      <c r="B527" s="1" t="n">
        <v>45776</v>
      </c>
      <c r="C527" s="1" t="n">
        <v>45781</v>
      </c>
      <c r="D527" t="inlineStr">
        <is>
          <t>HALLANDS LÄN</t>
        </is>
      </c>
      <c r="E527" t="inlineStr">
        <is>
          <t>KUNGSBACKA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20828-2025</t>
        </is>
      </c>
      <c r="B528" s="1" t="n">
        <v>45776</v>
      </c>
      <c r="C528" s="1" t="n">
        <v>45781</v>
      </c>
      <c r="D528" t="inlineStr">
        <is>
          <t>HALLANDS LÄN</t>
        </is>
      </c>
      <c r="E528" t="inlineStr">
        <is>
          <t>KUNGSBACKA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45781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21009-2025</t>
        </is>
      </c>
      <c r="B530" s="1" t="n">
        <v>45777</v>
      </c>
      <c r="C530" s="1" t="n">
        <v>45781</v>
      </c>
      <c r="D530" t="inlineStr">
        <is>
          <t>HALLANDS LÄN</t>
        </is>
      </c>
      <c r="E530" t="inlineStr">
        <is>
          <t>KUNGSBACKA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20881-2025</t>
        </is>
      </c>
      <c r="B531" s="1" t="n">
        <v>45777</v>
      </c>
      <c r="C531" s="1" t="n">
        <v>45781</v>
      </c>
      <c r="D531" t="inlineStr">
        <is>
          <t>HALLANDS LÄN</t>
        </is>
      </c>
      <c r="E531" t="inlineStr">
        <is>
          <t>KUNGSBACKA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20883-2025</t>
        </is>
      </c>
      <c r="B532" s="1" t="n">
        <v>45777</v>
      </c>
      <c r="C532" s="1" t="n">
        <v>45781</v>
      </c>
      <c r="D532" t="inlineStr">
        <is>
          <t>HALLANDS LÄN</t>
        </is>
      </c>
      <c r="E532" t="inlineStr">
        <is>
          <t>KUNGSBACKA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2025-05-04T21:31:09Z</dcterms:created>
  <dcterms:modified xmlns:dcterms="http://purl.org/dc/terms/" xmlns:xsi="http://www.w3.org/2001/XMLSchema-instance" xsi:type="dcterms:W3CDTF">2025-05-04T21:31:10Z</dcterms:modified>
</cp:coreProperties>
</file>