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46310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46310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46310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46310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46310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46310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46310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46310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46310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46310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46310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46310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46310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46310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46310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46310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HYPERLINK("https://klasma.github.io/Logging_1384/artfynd/A 21721-2023 artfynd.xlsx", "A 21721-2023")</f>
        <v/>
      </c>
      <c r="X22">
        <f>HYPERLINK("https://klasma.github.io/Logging_1384/kartor/A 21721-2023 karta.png", "A 21721-2023")</f>
        <v/>
      </c>
      <c r="Y22">
        <f>HYPERLINK("https://klasma.github.io/Logging_1384/kartor_geotiff/A 21721-2023 georefererad karta.tif", "A 21721-2023")</f>
        <v/>
      </c>
      <c r="Z22">
        <f>HYPERLINK("https://klasma.github.io/Logging_1384/knärot/A 21721-2023 karta knärot.png", "A 21721-2023")</f>
        <v/>
      </c>
      <c r="AA22">
        <f>HYPERLINK("https://klasma.github.io/Logging_1384/klagomål/A 21721-2023 FSC-klagomål.docx", "A 21721-2023")</f>
        <v/>
      </c>
      <c r="AB22">
        <f>HYPERLINK("https://klasma.github.io/Logging_1384/klagomålsmail/A 21721-2023 FSC-klagomål mail.docx", "A 21721-2023")</f>
        <v/>
      </c>
      <c r="AC22">
        <f>HYPERLINK("https://klasma.github.io/Logging_1384/tillsyn/A 21721-2023 tillsynsbegäran.docx", "A 21721-2023")</f>
        <v/>
      </c>
      <c r="AD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46310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46310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46310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11154-2022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46310</v>
      </c>
      <c r="F26" t="inlineStr">
        <is>
          <t>HALLANDS LÄN</t>
        </is>
      </c>
      <c r="G26" t="inlineStr">
        <is>
          <t>KUNGSBACKA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HYPERLINK("https://klasma.github.io/Logging_1384/artfynd/A 11154-2022 artfynd.xlsx", "A 11154-2022")</f>
        <v/>
      </c>
      <c r="X26">
        <f>HYPERLINK("https://klasma.github.io/Logging_1384/kartor/A 11154-2022 karta.png", "A 11154-2022")</f>
        <v/>
      </c>
      <c r="Y26">
        <f>HYPERLINK("https://klasma.github.io/Logging_1384/kartor_geotiff/A 11154-2022 georefererad karta.tif", "A 11154-2022")</f>
        <v/>
      </c>
      <c r="AA26">
        <f>HYPERLINK("https://klasma.github.io/Logging_1384/klagomål/A 11154-2022 FSC-klagomål.docx", "A 11154-2022")</f>
        <v/>
      </c>
      <c r="AB26">
        <f>HYPERLINK("https://klasma.github.io/Logging_1384/klagomålsmail/A 11154-2022 FSC-klagomål mail.docx", "A 11154-2022")</f>
        <v/>
      </c>
      <c r="AC26">
        <f>HYPERLINK("https://klasma.github.io/Logging_1384/tillsyn/A 11154-2022 tillsynsbegäran.docx", "A 11154-2022")</f>
        <v/>
      </c>
      <c r="AD26">
        <f>HYPERLINK("https://klasma.github.io/Logging_1384/tillsynsmail/A 11154-2022 tillsynsbegäran mail.docx", "A 11154-2022")</f>
        <v/>
      </c>
      <c r="AE26">
        <f>HYPERLINK("https://klasma.github.io/Logging_1384/fåglar/A 11154-2022 prioriterade fågelarter.docx", "A 11154-2022")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46310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46310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46310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46310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46310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46310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46310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46310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44748</v>
      </c>
      <c r="E39" s="1" t="n">
        <v>46310</v>
      </c>
      <c r="F39" t="inlineStr">
        <is>
          <t>HALLANDS LÄN</t>
        </is>
      </c>
      <c r="G39" t="inlineStr">
        <is>
          <t>KUNGSBACKA</t>
        </is>
      </c>
      <c r="I39" t="n">
        <v>7.2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46310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59348-2023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46310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46310</v>
      </c>
      <c r="F42" t="inlineStr">
        <is>
          <t>HALLANDS LÄN</t>
        </is>
      </c>
      <c r="G42" t="inlineStr">
        <is>
          <t>KUNGSBACKA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46310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46310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46310</v>
      </c>
      <c r="F45" t="inlineStr">
        <is>
          <t>HALLANDS LÄN</t>
        </is>
      </c>
      <c r="G45" t="inlineStr">
        <is>
          <t>KUNGSBACKA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25269-2025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45800</v>
      </c>
      <c r="E46" s="1" t="n">
        <v>46310</v>
      </c>
      <c r="F46" t="inlineStr">
        <is>
          <t>HALLANDS LÄN</t>
        </is>
      </c>
      <c r="G46" t="inlineStr">
        <is>
          <t>KUNGSBACKA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46310</v>
      </c>
      <c r="F47" t="inlineStr">
        <is>
          <t>HALLANDS LÄN</t>
        </is>
      </c>
      <c r="G47" t="inlineStr">
        <is>
          <t>KUNGSBACKA</t>
        </is>
      </c>
      <c r="I47" t="n">
        <v>13.8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46310</v>
      </c>
      <c r="F48" t="inlineStr">
        <is>
          <t>HALLANDS LÄN</t>
        </is>
      </c>
      <c r="G48" t="inlineStr">
        <is>
          <t>KUNGSBACKA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45776</v>
      </c>
      <c r="E49" s="1" t="n">
        <v>46310</v>
      </c>
      <c r="F49" t="inlineStr">
        <is>
          <t>HALLANDS LÄN</t>
        </is>
      </c>
      <c r="G49" t="inlineStr">
        <is>
          <t>KUNGSBACKA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46310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46310</v>
      </c>
      <c r="F51" t="inlineStr">
        <is>
          <t>HALLANDS LÄN</t>
        </is>
      </c>
      <c r="G51" t="inlineStr">
        <is>
          <t>KUNGSBACKA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46310</v>
      </c>
      <c r="F52" t="inlineStr">
        <is>
          <t>HALLANDS LÄN</t>
        </is>
      </c>
      <c r="G52" t="inlineStr">
        <is>
          <t>KUNGSBACKA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46310</v>
      </c>
      <c r="F53" t="inlineStr">
        <is>
          <t>HALLANDS LÄN</t>
        </is>
      </c>
      <c r="G53" t="inlineStr">
        <is>
          <t>KUNGSBACKA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46310</v>
      </c>
      <c r="F54" t="inlineStr">
        <is>
          <t>HALLANDS LÄN</t>
        </is>
      </c>
      <c r="G54" t="inlineStr">
        <is>
          <t>KUNGSBACKA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16075-2025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45749</v>
      </c>
      <c r="E55" s="1" t="n">
        <v>46310</v>
      </c>
      <c r="F55" t="inlineStr">
        <is>
          <t>HALLANDS LÄN</t>
        </is>
      </c>
      <c r="G55" t="inlineStr">
        <is>
          <t>KUNGSBACKA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46310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46310</v>
      </c>
      <c r="F57" t="inlineStr">
        <is>
          <t>HALLANDS LÄN</t>
        </is>
      </c>
      <c r="G57" t="inlineStr">
        <is>
          <t>KUNGSBACKA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44775</v>
      </c>
      <c r="E58" s="1" t="n">
        <v>46310</v>
      </c>
      <c r="F58" t="inlineStr">
        <is>
          <t>HALLANDS LÄN</t>
        </is>
      </c>
      <c r="G58" t="inlineStr">
        <is>
          <t>KUNGSBACKA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45701</v>
      </c>
      <c r="E59" s="1" t="n">
        <v>46310</v>
      </c>
      <c r="F59" t="inlineStr">
        <is>
          <t>HALLANDS LÄN</t>
        </is>
      </c>
      <c r="G59" t="inlineStr">
        <is>
          <t>KUNGSBACKA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44967</v>
      </c>
      <c r="E60" s="1" t="n">
        <v>46310</v>
      </c>
      <c r="F60" t="inlineStr">
        <is>
          <t>HALLANDS LÄN</t>
        </is>
      </c>
      <c r="G60" t="inlineStr">
        <is>
          <t>KUNGSBACKA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46310</v>
      </c>
      <c r="F61" t="inlineStr">
        <is>
          <t>HALLANDS LÄN</t>
        </is>
      </c>
      <c r="G61" t="inlineStr">
        <is>
          <t>KUNGSBACKA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9965-2025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45719</v>
      </c>
      <c r="E62" s="1" t="n">
        <v>46310</v>
      </c>
      <c r="F62" t="inlineStr">
        <is>
          <t>HALLANDS LÄN</t>
        </is>
      </c>
      <c r="G62" t="inlineStr">
        <is>
          <t>KUNGSBACKA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9976-2025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45719</v>
      </c>
      <c r="E63" s="1" t="n">
        <v>46310</v>
      </c>
      <c r="F63" t="inlineStr">
        <is>
          <t>HALLANDS LÄN</t>
        </is>
      </c>
      <c r="G63" t="inlineStr">
        <is>
          <t>KUNGSBACKA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46310</v>
      </c>
      <c r="F64" t="inlineStr">
        <is>
          <t>HALLANDS LÄN</t>
        </is>
      </c>
      <c r="G64" t="inlineStr">
        <is>
          <t>KUNGSBACKA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39066-2025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45888</v>
      </c>
      <c r="E65" s="1" t="n">
        <v>46310</v>
      </c>
      <c r="F65" t="inlineStr">
        <is>
          <t>HALLANDS LÄN</t>
        </is>
      </c>
      <c r="G65" t="inlineStr">
        <is>
          <t>KUNGSBACKA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46310</v>
      </c>
      <c r="F66" t="inlineStr">
        <is>
          <t>HALLANDS LÄN</t>
        </is>
      </c>
      <c r="G66" t="inlineStr">
        <is>
          <t>KUNGSBACKA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46310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46310</v>
      </c>
      <c r="F68" t="inlineStr">
        <is>
          <t>HALLANDS LÄN</t>
        </is>
      </c>
      <c r="G68" t="inlineStr">
        <is>
          <t>KUNGSBACKA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46310</v>
      </c>
      <c r="F69" t="inlineStr">
        <is>
          <t>HALLANDS LÄN</t>
        </is>
      </c>
      <c r="G69" t="inlineStr">
        <is>
          <t>KUNGSBACKA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45846</v>
      </c>
      <c r="E70" s="1" t="n">
        <v>46310</v>
      </c>
      <c r="F70" t="inlineStr">
        <is>
          <t>HALLANDS LÄN</t>
        </is>
      </c>
      <c r="G70" t="inlineStr">
        <is>
          <t>KUNGSBACKA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34407-2025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46310</v>
      </c>
      <c r="F71" t="inlineStr">
        <is>
          <t>HALLANDS LÄN</t>
        </is>
      </c>
      <c r="G71" t="inlineStr">
        <is>
          <t>KUNGSBACKA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45848</v>
      </c>
      <c r="E72" s="1" t="n">
        <v>46310</v>
      </c>
      <c r="F72" t="inlineStr">
        <is>
          <t>HALLANDS LÄN</t>
        </is>
      </c>
      <c r="G72" t="inlineStr">
        <is>
          <t>KUNGSBACKA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34975-2025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45849</v>
      </c>
      <c r="E73" s="1" t="n">
        <v>46310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46310</v>
      </c>
      <c r="F74" t="inlineStr">
        <is>
          <t>HALLANDS LÄN</t>
        </is>
      </c>
      <c r="G74" t="inlineStr">
        <is>
          <t>KUNGSBACKA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46310</v>
      </c>
      <c r="F75" t="inlineStr">
        <is>
          <t>HALLANDS LÄN</t>
        </is>
      </c>
      <c r="G75" t="inlineStr">
        <is>
          <t>KUNGSBACKA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46310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45861</v>
      </c>
      <c r="E77" s="1" t="n">
        <v>46310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46310</v>
      </c>
      <c r="F78" t="inlineStr">
        <is>
          <t>HALLANDS LÄN</t>
        </is>
      </c>
      <c r="G78" t="inlineStr">
        <is>
          <t>KUNGSBACKA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46310</v>
      </c>
      <c r="F79" t="inlineStr">
        <is>
          <t>HALLANDS LÄN</t>
        </is>
      </c>
      <c r="G79" t="inlineStr">
        <is>
          <t>KUNGSBACKA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45134</v>
      </c>
      <c r="E80" s="1" t="n">
        <v>46310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46310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46310</v>
      </c>
      <c r="F82" t="inlineStr">
        <is>
          <t>HALLANDS LÄN</t>
        </is>
      </c>
      <c r="G82" t="inlineStr">
        <is>
          <t>KUNGSBACKA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46310</v>
      </c>
      <c r="F83" t="inlineStr">
        <is>
          <t>HALLANDS LÄN</t>
        </is>
      </c>
      <c r="G83" t="inlineStr">
        <is>
          <t>KUNGSBACKA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46310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46310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46310</v>
      </c>
      <c r="F86" t="inlineStr">
        <is>
          <t>HALLANDS LÄN</t>
        </is>
      </c>
      <c r="G86" t="inlineStr">
        <is>
          <t>KUNGSBACKA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44925</v>
      </c>
      <c r="E87" s="1" t="n">
        <v>46310</v>
      </c>
      <c r="F87" t="inlineStr">
        <is>
          <t>HALLANDS LÄN</t>
        </is>
      </c>
      <c r="G87" t="inlineStr">
        <is>
          <t>KUNGSBACKA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46310</v>
      </c>
      <c r="F88" t="inlineStr">
        <is>
          <t>HALLANDS LÄN</t>
        </is>
      </c>
      <c r="G88" t="inlineStr">
        <is>
          <t>KUNGSBACKA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46310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45478</v>
      </c>
      <c r="E90" s="1" t="n">
        <v>46310</v>
      </c>
      <c r="F90" t="inlineStr">
        <is>
          <t>HALLANDS LÄN</t>
        </is>
      </c>
      <c r="G90" t="inlineStr">
        <is>
          <t>KUNGSBACKA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10396-2024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46310</v>
      </c>
      <c r="F91" t="inlineStr">
        <is>
          <t>HALLANDS LÄN</t>
        </is>
      </c>
      <c r="G91" t="inlineStr">
        <is>
          <t>KUNGSBACKA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46310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46310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46310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46310</v>
      </c>
      <c r="F95" t="inlineStr">
        <is>
          <t>HALLANDS LÄN</t>
        </is>
      </c>
      <c r="G95" t="inlineStr">
        <is>
          <t>KUNGSBACKA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46310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46310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46310</v>
      </c>
      <c r="F98" t="inlineStr">
        <is>
          <t>HALLANDS LÄN</t>
        </is>
      </c>
      <c r="G98" t="inlineStr">
        <is>
          <t>KUNGSBACKA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46310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46310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46310</v>
      </c>
      <c r="F101" t="inlineStr">
        <is>
          <t>HALLANDS LÄN</t>
        </is>
      </c>
      <c r="G101" t="inlineStr">
        <is>
          <t>KUNGSBACKA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46310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21306-2023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46310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46310</v>
      </c>
      <c r="F104" t="inlineStr">
        <is>
          <t>HALLANDS LÄN</t>
        </is>
      </c>
      <c r="G104" t="inlineStr">
        <is>
          <t>KUNGSBACKA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45153</v>
      </c>
      <c r="E105" s="1" t="n">
        <v>46310</v>
      </c>
      <c r="F105" t="inlineStr">
        <is>
          <t>HALLANDS LÄN</t>
        </is>
      </c>
      <c r="G105" t="inlineStr">
        <is>
          <t>KUNGSBACKA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45091</v>
      </c>
      <c r="E106" s="1" t="n">
        <v>46310</v>
      </c>
      <c r="F106" t="inlineStr">
        <is>
          <t>HALLANDS LÄN</t>
        </is>
      </c>
      <c r="G106" t="inlineStr">
        <is>
          <t>KUNGSBACKA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63104-2023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46310</v>
      </c>
      <c r="F107" t="inlineStr">
        <is>
          <t>HALLANDS LÄN</t>
        </is>
      </c>
      <c r="G107" t="inlineStr">
        <is>
          <t>KUNGSBACKA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46310</v>
      </c>
      <c r="F108" t="inlineStr">
        <is>
          <t>HALLANDS LÄN</t>
        </is>
      </c>
      <c r="G108" t="inlineStr">
        <is>
          <t>KUNGSBACKA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46310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46310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46310</v>
      </c>
      <c r="F111" t="inlineStr">
        <is>
          <t>HALLANDS LÄN</t>
        </is>
      </c>
      <c r="G111" t="inlineStr">
        <is>
          <t>KUNGSBACKA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46310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45873</v>
      </c>
      <c r="E113" s="1" t="n">
        <v>46310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46310</v>
      </c>
      <c r="F114" t="inlineStr">
        <is>
          <t>HALLANDS LÄN</t>
        </is>
      </c>
      <c r="G114" t="inlineStr">
        <is>
          <t>KUNGSBACKA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44925</v>
      </c>
      <c r="E115" s="1" t="n">
        <v>46310</v>
      </c>
      <c r="F115" t="inlineStr">
        <is>
          <t>HALLANDS LÄN</t>
        </is>
      </c>
      <c r="G115" t="inlineStr">
        <is>
          <t>KUNGSBACKA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45653</v>
      </c>
      <c r="E116" s="1" t="n">
        <v>46310</v>
      </c>
      <c r="F116" t="inlineStr">
        <is>
          <t>HALLANDS LÄN</t>
        </is>
      </c>
      <c r="G116" t="inlineStr">
        <is>
          <t>KUNGSBACKA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46310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45188</v>
      </c>
      <c r="E118" s="1" t="n">
        <v>46310</v>
      </c>
      <c r="F118" t="inlineStr">
        <is>
          <t>HALLANDS LÄN</t>
        </is>
      </c>
      <c r="G118" t="inlineStr">
        <is>
          <t>KUNGSBACKA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46310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46310</v>
      </c>
      <c r="F120" t="inlineStr">
        <is>
          <t>HALLANDS LÄN</t>
        </is>
      </c>
      <c r="G120" t="inlineStr">
        <is>
          <t>KUNGSBACKA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46310</v>
      </c>
      <c r="F121" t="inlineStr">
        <is>
          <t>HALLANDS LÄN</t>
        </is>
      </c>
      <c r="G121" t="inlineStr">
        <is>
          <t>KUNGSBACKA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46310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46310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46310</v>
      </c>
      <c r="F124" t="inlineStr">
        <is>
          <t>HALLANDS LÄN</t>
        </is>
      </c>
      <c r="G124" t="inlineStr">
        <is>
          <t>KUNGSBACKA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46310</v>
      </c>
      <c r="F125" t="inlineStr">
        <is>
          <t>HALLANDS LÄN</t>
        </is>
      </c>
      <c r="G125" t="inlineStr">
        <is>
          <t>KUNGSBACKA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46310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46310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46310</v>
      </c>
      <c r="F128" t="inlineStr">
        <is>
          <t>HALLANDS LÄN</t>
        </is>
      </c>
      <c r="G128" t="inlineStr">
        <is>
          <t>KUNGSBACKA</t>
        </is>
      </c>
      <c r="H128" t="inlineStr">
        <is>
          <t>Kommuner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71676-2021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46310</v>
      </c>
      <c r="F129" t="inlineStr">
        <is>
          <t>HALLANDS LÄN</t>
        </is>
      </c>
      <c r="G129" t="inlineStr">
        <is>
          <t>KUNGSBACKA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46077</v>
      </c>
      <c r="E130" s="1" t="n">
        <v>46310</v>
      </c>
      <c r="F130" t="inlineStr">
        <is>
          <t>HALLANDS LÄN</t>
        </is>
      </c>
      <c r="G130" t="inlineStr">
        <is>
          <t>KUNGSBACKA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46310</v>
      </c>
      <c r="F131" t="inlineStr">
        <is>
          <t>HALLANDS LÄN</t>
        </is>
      </c>
      <c r="G131" t="inlineStr">
        <is>
          <t>KUNGSBACKA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46310</v>
      </c>
      <c r="F132" t="inlineStr">
        <is>
          <t>HALLANDS LÄN</t>
        </is>
      </c>
      <c r="G132" t="inlineStr">
        <is>
          <t>KUNGSBACKA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46310</v>
      </c>
      <c r="F133" t="inlineStr">
        <is>
          <t>HALLANDS LÄN</t>
        </is>
      </c>
      <c r="G133" t="inlineStr">
        <is>
          <t>KUNGSBACKA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46310</v>
      </c>
      <c r="F134" t="inlineStr">
        <is>
          <t>HALLANDS LÄN</t>
        </is>
      </c>
      <c r="G134" t="inlineStr">
        <is>
          <t>KUNGSBACKA</t>
        </is>
      </c>
      <c r="H134" t="inlineStr">
        <is>
          <t>Kommuner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46310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46310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46310</v>
      </c>
      <c r="F137" t="inlineStr">
        <is>
          <t>HALLANDS LÄN</t>
        </is>
      </c>
      <c r="G137" t="inlineStr">
        <is>
          <t>KUNGSBACKA</t>
        </is>
      </c>
      <c r="I137" t="n">
        <v>15.2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45923</v>
      </c>
      <c r="E138" s="1" t="n">
        <v>46310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51523-2025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45950</v>
      </c>
      <c r="E139" s="1" t="n">
        <v>46310</v>
      </c>
      <c r="F139" t="inlineStr">
        <is>
          <t>HALLANDS LÄN</t>
        </is>
      </c>
      <c r="G139" t="inlineStr">
        <is>
          <t>KUNGSBACKA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46310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56293-2023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45242</v>
      </c>
      <c r="E141" s="1" t="n">
        <v>46310</v>
      </c>
      <c r="F141" t="inlineStr">
        <is>
          <t>HALLANDS LÄN</t>
        </is>
      </c>
      <c r="G141" t="inlineStr">
        <is>
          <t>KUNGSBACKA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45242</v>
      </c>
      <c r="E142" s="1" t="n">
        <v>46310</v>
      </c>
      <c r="F142" t="inlineStr">
        <is>
          <t>HALLANDS LÄN</t>
        </is>
      </c>
      <c r="G142" t="inlineStr">
        <is>
          <t>KUNGSBACKA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46086</v>
      </c>
      <c r="E143" s="1" t="n">
        <v>46310</v>
      </c>
      <c r="F143" t="inlineStr">
        <is>
          <t>HALLANDS LÄN</t>
        </is>
      </c>
      <c r="G143" t="inlineStr">
        <is>
          <t>KUNGSBACKA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46310</v>
      </c>
      <c r="F144" t="inlineStr">
        <is>
          <t>HALLANDS LÄN</t>
        </is>
      </c>
      <c r="G144" t="inlineStr">
        <is>
          <t>KUNGSBACKA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14898-2023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45014</v>
      </c>
      <c r="E145" s="1" t="n">
        <v>46310</v>
      </c>
      <c r="F145" t="inlineStr">
        <is>
          <t>HALLANDS LÄN</t>
        </is>
      </c>
      <c r="G145" t="inlineStr">
        <is>
          <t>KUNGSBACKA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46310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46310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46310</v>
      </c>
      <c r="F148" t="inlineStr">
        <is>
          <t>HALLANDS LÄN</t>
        </is>
      </c>
      <c r="G148" t="inlineStr">
        <is>
          <t>KUNGSBACKA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46310</v>
      </c>
      <c r="F149" t="inlineStr">
        <is>
          <t>HALLANDS LÄN</t>
        </is>
      </c>
      <c r="G149" t="inlineStr">
        <is>
          <t>KUNGSBACKA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46310</v>
      </c>
      <c r="F150" t="inlineStr">
        <is>
          <t>HALLANDS LÄN</t>
        </is>
      </c>
      <c r="G150" t="inlineStr">
        <is>
          <t>KUNGSBACKA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10949-2024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45370</v>
      </c>
      <c r="E151" s="1" t="n">
        <v>46310</v>
      </c>
      <c r="F151" t="inlineStr">
        <is>
          <t>HALLANDS LÄN</t>
        </is>
      </c>
      <c r="G151" t="inlineStr">
        <is>
          <t>KUNGSBACKA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58118-2021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46310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45968</v>
      </c>
      <c r="E153" s="1" t="n">
        <v>46310</v>
      </c>
      <c r="F153" t="inlineStr">
        <is>
          <t>HALLANDS LÄN</t>
        </is>
      </c>
      <c r="G153" t="inlineStr">
        <is>
          <t>KUNGSBACKA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45742</v>
      </c>
      <c r="E154" s="1" t="n">
        <v>46310</v>
      </c>
      <c r="F154" t="inlineStr">
        <is>
          <t>HALLANDS LÄN</t>
        </is>
      </c>
      <c r="G154" t="inlineStr">
        <is>
          <t>KUNGSBACKA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46310</v>
      </c>
      <c r="F155" t="inlineStr">
        <is>
          <t>HALLANDS LÄN</t>
        </is>
      </c>
      <c r="G155" t="inlineStr">
        <is>
          <t>KUNGSBACKA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46310</v>
      </c>
      <c r="F156" t="inlineStr">
        <is>
          <t>HALLANDS LÄN</t>
        </is>
      </c>
      <c r="G156" t="inlineStr">
        <is>
          <t>KUNGSBACKA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44869</v>
      </c>
      <c r="E157" s="1" t="n">
        <v>46310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46310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46310</v>
      </c>
      <c r="F159" t="inlineStr">
        <is>
          <t>HALLANDS LÄN</t>
        </is>
      </c>
      <c r="G159" t="inlineStr">
        <is>
          <t>KUNGSBACKA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46310</v>
      </c>
      <c r="F160" t="inlineStr">
        <is>
          <t>HALLANDS LÄN</t>
        </is>
      </c>
      <c r="G160" t="inlineStr">
        <is>
          <t>KUNGSBACKA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18077-2026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46125</v>
      </c>
      <c r="E161" s="1" t="n">
        <v>46310</v>
      </c>
      <c r="F161" t="inlineStr">
        <is>
          <t>HALLANDS LÄN</t>
        </is>
      </c>
      <c r="G161" t="inlineStr">
        <is>
          <t>KUNGSBACKA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46310</v>
      </c>
      <c r="F162" t="inlineStr">
        <is>
          <t>HALLANDS LÄN</t>
        </is>
      </c>
      <c r="G162" t="inlineStr">
        <is>
          <t>KUNGSBACKA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46310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46310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45729</v>
      </c>
      <c r="E165" s="1" t="n">
        <v>46310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45801</v>
      </c>
      <c r="E166" s="1" t="n">
        <v>46310</v>
      </c>
      <c r="F166" t="inlineStr">
        <is>
          <t>HALLANDS LÄN</t>
        </is>
      </c>
      <c r="G166" t="inlineStr">
        <is>
          <t>KUNGSBACKA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46310</v>
      </c>
      <c r="F167" t="inlineStr">
        <is>
          <t>HALLANDS LÄN</t>
        </is>
      </c>
      <c r="G167" t="inlineStr">
        <is>
          <t>KUNGSBACKA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48486-2025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46310</v>
      </c>
      <c r="F168" t="inlineStr">
        <is>
          <t>HALLANDS LÄN</t>
        </is>
      </c>
      <c r="G168" t="inlineStr">
        <is>
          <t>KUNGSBACKA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45504</v>
      </c>
      <c r="E169" s="1" t="n">
        <v>46310</v>
      </c>
      <c r="F169" t="inlineStr">
        <is>
          <t>HALLANDS LÄN</t>
        </is>
      </c>
      <c r="G169" t="inlineStr">
        <is>
          <t>KUNGSBACKA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46310</v>
      </c>
      <c r="F170" t="inlineStr">
        <is>
          <t>HALLANDS LÄN</t>
        </is>
      </c>
      <c r="G170" t="inlineStr">
        <is>
          <t>KUNGSBACKA</t>
        </is>
      </c>
      <c r="I170" t="n">
        <v>18.8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46310</v>
      </c>
      <c r="F171" t="inlineStr">
        <is>
          <t>HALLANDS LÄN</t>
        </is>
      </c>
      <c r="G171" t="inlineStr">
        <is>
          <t>KUNGSBACKA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45867</v>
      </c>
      <c r="E172" s="1" t="n">
        <v>46310</v>
      </c>
      <c r="F172" t="inlineStr">
        <is>
          <t>HALLANDS LÄN</t>
        </is>
      </c>
      <c r="G172" t="inlineStr">
        <is>
          <t>KUNGSBACKA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46310</v>
      </c>
      <c r="F173" t="inlineStr">
        <is>
          <t>HALLANDS LÄN</t>
        </is>
      </c>
      <c r="G173" t="inlineStr">
        <is>
          <t>KUNGSBACKA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46310</v>
      </c>
      <c r="F174" t="inlineStr">
        <is>
          <t>HALLANDS LÄN</t>
        </is>
      </c>
      <c r="G174" t="inlineStr">
        <is>
          <t>KUNGSBACKA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46310</v>
      </c>
      <c r="F175" t="inlineStr">
        <is>
          <t>HALLANDS LÄN</t>
        </is>
      </c>
      <c r="G175" t="inlineStr">
        <is>
          <t>KUNGSBACKA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44994</v>
      </c>
      <c r="E176" s="1" t="n">
        <v>46310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46310</v>
      </c>
      <c r="F177" t="inlineStr">
        <is>
          <t>HALLANDS LÄN</t>
        </is>
      </c>
      <c r="G177" t="inlineStr">
        <is>
          <t>KUNGSBACKA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46310</v>
      </c>
      <c r="F178" t="inlineStr">
        <is>
          <t>HALLANDS LÄN</t>
        </is>
      </c>
      <c r="G178" t="inlineStr">
        <is>
          <t>KUNGSBACKA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46310</v>
      </c>
      <c r="F179" t="inlineStr">
        <is>
          <t>HALLANDS LÄN</t>
        </is>
      </c>
      <c r="G179" t="inlineStr">
        <is>
          <t>KUNGSBACKA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46310</v>
      </c>
      <c r="F180" t="inlineStr">
        <is>
          <t>HALLANDS LÄN</t>
        </is>
      </c>
      <c r="G180" t="inlineStr">
        <is>
          <t>KUNGSBACKA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46310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46310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46310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46310</v>
      </c>
      <c r="F184" t="inlineStr">
        <is>
          <t>HALLANDS LÄN</t>
        </is>
      </c>
      <c r="G184" t="inlineStr">
        <is>
          <t>KUNGSBACKA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45638</v>
      </c>
      <c r="E185" s="1" t="n">
        <v>46310</v>
      </c>
      <c r="F185" t="inlineStr">
        <is>
          <t>HALLANDS LÄN</t>
        </is>
      </c>
      <c r="G185" t="inlineStr">
        <is>
          <t>KUNGSBACKA</t>
        </is>
      </c>
      <c r="I185" t="n">
        <v>19.2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44789</v>
      </c>
      <c r="E186" s="1" t="n">
        <v>46310</v>
      </c>
      <c r="F186" t="inlineStr">
        <is>
          <t>HALLANDS LÄN</t>
        </is>
      </c>
      <c r="G186" t="inlineStr">
        <is>
          <t>KUNGSBACKA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46310</v>
      </c>
      <c r="F187" t="inlineStr">
        <is>
          <t>HALLANDS LÄN</t>
        </is>
      </c>
      <c r="G187" t="inlineStr">
        <is>
          <t>KUNGSBACKA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44851</v>
      </c>
      <c r="E188" s="1" t="n">
        <v>46310</v>
      </c>
      <c r="F188" t="inlineStr">
        <is>
          <t>HALLANDS LÄN</t>
        </is>
      </c>
      <c r="G188" t="inlineStr">
        <is>
          <t>KUNGSBACKA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46310</v>
      </c>
      <c r="F189" t="inlineStr">
        <is>
          <t>HALLANDS LÄN</t>
        </is>
      </c>
      <c r="G189" t="inlineStr">
        <is>
          <t>KUNGSBACKA</t>
        </is>
      </c>
      <c r="H189" t="inlineStr">
        <is>
          <t>Kyrkan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46310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45205</v>
      </c>
      <c r="E191" s="1" t="n">
        <v>46310</v>
      </c>
      <c r="F191" t="inlineStr">
        <is>
          <t>HALLANDS LÄN</t>
        </is>
      </c>
      <c r="G191" t="inlineStr">
        <is>
          <t>KUNGSBACKA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46310</v>
      </c>
      <c r="F192" t="inlineStr">
        <is>
          <t>HALLANDS LÄN</t>
        </is>
      </c>
      <c r="G192" t="inlineStr">
        <is>
          <t>KUNGSBACKA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46310</v>
      </c>
      <c r="F193" t="inlineStr">
        <is>
          <t>HALLANDS LÄN</t>
        </is>
      </c>
      <c r="G193" t="inlineStr">
        <is>
          <t>KUNGSBACKA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46310</v>
      </c>
      <c r="F194" t="inlineStr">
        <is>
          <t>HALLANDS LÄN</t>
        </is>
      </c>
      <c r="G194" t="inlineStr">
        <is>
          <t>KUNGSBACKA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46310</v>
      </c>
      <c r="F195" t="inlineStr">
        <is>
          <t>HALLANDS LÄN</t>
        </is>
      </c>
      <c r="G195" t="inlineStr">
        <is>
          <t>KUNGSBACKA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46310</v>
      </c>
      <c r="F196" t="inlineStr">
        <is>
          <t>HALLANDS LÄN</t>
        </is>
      </c>
      <c r="G196" t="inlineStr">
        <is>
          <t>KUNGSBACKA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46054</v>
      </c>
      <c r="E197" s="1" t="n">
        <v>46310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45323</v>
      </c>
      <c r="E198" s="1" t="n">
        <v>46310</v>
      </c>
      <c r="F198" t="inlineStr">
        <is>
          <t>HALLANDS LÄN</t>
        </is>
      </c>
      <c r="G198" t="inlineStr">
        <is>
          <t>KUNGSBACKA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46054</v>
      </c>
      <c r="E199" s="1" t="n">
        <v>46310</v>
      </c>
      <c r="F199" t="inlineStr">
        <is>
          <t>HALLANDS LÄN</t>
        </is>
      </c>
      <c r="G199" t="inlineStr">
        <is>
          <t>KUNGSBACKA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46054</v>
      </c>
      <c r="E200" s="1" t="n">
        <v>46310</v>
      </c>
      <c r="F200" t="inlineStr">
        <is>
          <t>HALLANDS LÄN</t>
        </is>
      </c>
      <c r="G200" t="inlineStr">
        <is>
          <t>KUNGSBACKA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46310</v>
      </c>
      <c r="F201" t="inlineStr">
        <is>
          <t>HALLANDS LÄN</t>
        </is>
      </c>
      <c r="G201" t="inlineStr">
        <is>
          <t>KUNGSBACKA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46310</v>
      </c>
      <c r="F202" t="inlineStr">
        <is>
          <t>HALLANDS LÄN</t>
        </is>
      </c>
      <c r="G202" t="inlineStr">
        <is>
          <t>KUNGSBACKA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46310</v>
      </c>
      <c r="F203" t="inlineStr">
        <is>
          <t>HALLANDS LÄN</t>
        </is>
      </c>
      <c r="G203" t="inlineStr">
        <is>
          <t>KUNGSBACKA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46310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46310</v>
      </c>
      <c r="F205" t="inlineStr">
        <is>
          <t>HALLANDS LÄN</t>
        </is>
      </c>
      <c r="G205" t="inlineStr">
        <is>
          <t>KUNGSBACKA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46310</v>
      </c>
      <c r="F206" t="inlineStr">
        <is>
          <t>HALLANDS LÄN</t>
        </is>
      </c>
      <c r="G206" t="inlineStr">
        <is>
          <t>KUNGSBACKA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45160</v>
      </c>
      <c r="E207" s="1" t="n">
        <v>46310</v>
      </c>
      <c r="F207" t="inlineStr">
        <is>
          <t>HALLANDS LÄN</t>
        </is>
      </c>
      <c r="G207" t="inlineStr">
        <is>
          <t>KUNGSBACKA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46310</v>
      </c>
      <c r="F208" t="inlineStr">
        <is>
          <t>HALLANDS LÄN</t>
        </is>
      </c>
      <c r="G208" t="inlineStr">
        <is>
          <t>KUNGSBACKA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46310</v>
      </c>
      <c r="F209" t="inlineStr">
        <is>
          <t>HALLANDS LÄN</t>
        </is>
      </c>
      <c r="G209" t="inlineStr">
        <is>
          <t>KUNGSBACKA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46310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46310</v>
      </c>
      <c r="F211" t="inlineStr">
        <is>
          <t>HALLANDS LÄN</t>
        </is>
      </c>
      <c r="G211" t="inlineStr">
        <is>
          <t>KUNGSBACKA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46310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46310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46310</v>
      </c>
      <c r="F214" t="inlineStr">
        <is>
          <t>HALLANDS LÄN</t>
        </is>
      </c>
      <c r="G214" t="inlineStr">
        <is>
          <t>KUNGSBACKA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46310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46310</v>
      </c>
      <c r="F216" t="inlineStr">
        <is>
          <t>HALLANDS LÄN</t>
        </is>
      </c>
      <c r="G216" t="inlineStr">
        <is>
          <t>KUNGSBACKA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45881</v>
      </c>
      <c r="E217" s="1" t="n">
        <v>46310</v>
      </c>
      <c r="F217" t="inlineStr">
        <is>
          <t>HALLANDS LÄN</t>
        </is>
      </c>
      <c r="G217" t="inlineStr">
        <is>
          <t>KUNGSBACKA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46310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44942</v>
      </c>
      <c r="E219" s="1" t="n">
        <v>46310</v>
      </c>
      <c r="F219" t="inlineStr">
        <is>
          <t>HALLANDS LÄN</t>
        </is>
      </c>
      <c r="G219" t="inlineStr">
        <is>
          <t>KUNGSBACKA</t>
        </is>
      </c>
      <c r="I219" t="n">
        <v>19.2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46310</v>
      </c>
      <c r="F220" t="inlineStr">
        <is>
          <t>HALLANDS LÄN</t>
        </is>
      </c>
      <c r="G220" t="inlineStr">
        <is>
          <t>KUNGSBACKA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46310</v>
      </c>
      <c r="F221" t="inlineStr">
        <is>
          <t>HALLANDS LÄN</t>
        </is>
      </c>
      <c r="G221" t="inlineStr">
        <is>
          <t>KUNGSBACKA</t>
        </is>
      </c>
      <c r="H221" t="inlineStr">
        <is>
          <t>Övriga Aktiebolag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25337-2026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46176</v>
      </c>
      <c r="E222" s="1" t="n">
        <v>46310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46310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46310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46310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25351-2026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46176</v>
      </c>
      <c r="E226" s="1" t="n">
        <v>46310</v>
      </c>
      <c r="F226" t="inlineStr">
        <is>
          <t>HALLANDS LÄN</t>
        </is>
      </c>
      <c r="G226" t="inlineStr">
        <is>
          <t>KUNGSBACKA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46310</v>
      </c>
      <c r="F227" t="inlineStr">
        <is>
          <t>HALLANDS LÄN</t>
        </is>
      </c>
      <c r="G227" t="inlineStr">
        <is>
          <t>KUNGSBACKA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46310</v>
      </c>
      <c r="F228" t="inlineStr">
        <is>
          <t>HALLANDS LÄN</t>
        </is>
      </c>
      <c r="G228" t="inlineStr">
        <is>
          <t>KUNGSBACKA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46310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46310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46310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46310</v>
      </c>
      <c r="F232" t="inlineStr">
        <is>
          <t>HALLANDS LÄN</t>
        </is>
      </c>
      <c r="G232" t="inlineStr">
        <is>
          <t>KUNGSBACKA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46310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45078</v>
      </c>
      <c r="E234" s="1" t="n">
        <v>46310</v>
      </c>
      <c r="F234" t="inlineStr">
        <is>
          <t>HALLANDS LÄN</t>
        </is>
      </c>
      <c r="G234" t="inlineStr">
        <is>
          <t>KUNGSBACKA</t>
        </is>
      </c>
      <c r="H234" t="inlineStr">
        <is>
          <t>Övriga Aktiebolag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26733-2026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46184</v>
      </c>
      <c r="E235" s="1" t="n">
        <v>46310</v>
      </c>
      <c r="F235" t="inlineStr">
        <is>
          <t>HALLANDS LÄN</t>
        </is>
      </c>
      <c r="G235" t="inlineStr">
        <is>
          <t>KUNGSBACKA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46310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46310</v>
      </c>
      <c r="F237" t="inlineStr">
        <is>
          <t>HALLANDS LÄN</t>
        </is>
      </c>
      <c r="G237" t="inlineStr">
        <is>
          <t>KUNGSBACKA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46310</v>
      </c>
      <c r="F238" t="inlineStr">
        <is>
          <t>HALLANDS LÄN</t>
        </is>
      </c>
      <c r="G238" t="inlineStr">
        <is>
          <t>KUNGSBACKA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44873</v>
      </c>
      <c r="E239" s="1" t="n">
        <v>46310</v>
      </c>
      <c r="F239" t="inlineStr">
        <is>
          <t>HALLANDS LÄN</t>
        </is>
      </c>
      <c r="G239" t="inlineStr">
        <is>
          <t>KUNGSBACKA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45436</v>
      </c>
      <c r="E240" s="1" t="n">
        <v>46310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46310</v>
      </c>
      <c r="F241" t="inlineStr">
        <is>
          <t>HALLANDS LÄN</t>
        </is>
      </c>
      <c r="G241" t="inlineStr">
        <is>
          <t>KUNGSBACKA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45719</v>
      </c>
      <c r="E242" s="1" t="n">
        <v>46310</v>
      </c>
      <c r="F242" t="inlineStr">
        <is>
          <t>HALLANDS LÄN</t>
        </is>
      </c>
      <c r="G242" t="inlineStr">
        <is>
          <t>KUNGSBACKA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10140-2025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45719</v>
      </c>
      <c r="E243" s="1" t="n">
        <v>46310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46310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46310</v>
      </c>
      <c r="F245" t="inlineStr">
        <is>
          <t>HALLANDS LÄN</t>
        </is>
      </c>
      <c r="G245" t="inlineStr">
        <is>
          <t>KUNGSBACKA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46310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46310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46310</v>
      </c>
      <c r="F248" t="inlineStr">
        <is>
          <t>HALLANDS LÄN</t>
        </is>
      </c>
      <c r="G248" t="inlineStr">
        <is>
          <t>KUNGSBACKA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46310</v>
      </c>
      <c r="F249" t="inlineStr">
        <is>
          <t>HALLANDS LÄN</t>
        </is>
      </c>
      <c r="G249" t="inlineStr">
        <is>
          <t>KUNGSBACKA</t>
        </is>
      </c>
      <c r="H249" t="inlineStr">
        <is>
          <t>Övriga Aktiebolag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31293-2024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45504</v>
      </c>
      <c r="E250" s="1" t="n">
        <v>46310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46310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46310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46310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46310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46310</v>
      </c>
      <c r="F255" t="inlineStr">
        <is>
          <t>HALLANDS LÄN</t>
        </is>
      </c>
      <c r="G255" t="inlineStr">
        <is>
          <t>KUNGSBACKA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10137-2025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45719</v>
      </c>
      <c r="E256" s="1" t="n">
        <v>46310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46310</v>
      </c>
      <c r="F257" t="inlineStr">
        <is>
          <t>HALLANDS LÄN</t>
        </is>
      </c>
      <c r="G257" t="inlineStr">
        <is>
          <t>KUNGSBACKA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46269</v>
      </c>
      <c r="E258" s="1" t="n">
        <v>46310</v>
      </c>
      <c r="F258" t="inlineStr">
        <is>
          <t>HALLANDS LÄN</t>
        </is>
      </c>
      <c r="G258" t="inlineStr">
        <is>
          <t>KUNGSBACKA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44773</v>
      </c>
      <c r="E259" s="1" t="n">
        <v>46310</v>
      </c>
      <c r="F259" t="inlineStr">
        <is>
          <t>HALLANDS LÄN</t>
        </is>
      </c>
      <c r="G259" t="inlineStr">
        <is>
          <t>KUNGSBACKA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46232</v>
      </c>
      <c r="E260" s="1" t="n">
        <v>46310</v>
      </c>
      <c r="F260" t="inlineStr">
        <is>
          <t>HALLANDS LÄN</t>
        </is>
      </c>
      <c r="G260" t="inlineStr">
        <is>
          <t>KUNGSBACKA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17293-2025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45756</v>
      </c>
      <c r="E261" s="1" t="n">
        <v>46310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24941-2024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45461</v>
      </c>
      <c r="E262" s="1" t="n">
        <v>46310</v>
      </c>
      <c r="F262" t="inlineStr">
        <is>
          <t>HALLANDS LÄN</t>
        </is>
      </c>
      <c r="G262" t="inlineStr">
        <is>
          <t>KUNGSBACKA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46310</v>
      </c>
      <c r="F263" t="inlineStr">
        <is>
          <t>HALLANDS LÄN</t>
        </is>
      </c>
      <c r="G263" t="inlineStr">
        <is>
          <t>KUNGSBACKA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46310</v>
      </c>
      <c r="F264" t="inlineStr">
        <is>
          <t>HALLANDS LÄN</t>
        </is>
      </c>
      <c r="G264" t="inlineStr">
        <is>
          <t>KUNGSBACKA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45653</v>
      </c>
      <c r="E265" s="1" t="n">
        <v>46310</v>
      </c>
      <c r="F265" t="inlineStr">
        <is>
          <t>HALLANDS LÄN</t>
        </is>
      </c>
      <c r="G265" t="inlineStr">
        <is>
          <t>KUNGSBACKA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45653</v>
      </c>
      <c r="E266" s="1" t="n">
        <v>46310</v>
      </c>
      <c r="F266" t="inlineStr">
        <is>
          <t>HALLANDS LÄN</t>
        </is>
      </c>
      <c r="G266" t="inlineStr">
        <is>
          <t>KUNGSBACKA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46310</v>
      </c>
      <c r="F267" t="inlineStr">
        <is>
          <t>HALLANDS LÄN</t>
        </is>
      </c>
      <c r="G267" t="inlineStr">
        <is>
          <t>KUNGSBACKA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46310</v>
      </c>
      <c r="F268" t="inlineStr">
        <is>
          <t>HALLANDS LÄN</t>
        </is>
      </c>
      <c r="G268" t="inlineStr">
        <is>
          <t>KUNGSBACKA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46310</v>
      </c>
      <c r="F269" t="inlineStr">
        <is>
          <t>HALLANDS LÄN</t>
        </is>
      </c>
      <c r="G269" t="inlineStr">
        <is>
          <t>KUNGSBACKA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46310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46310</v>
      </c>
      <c r="F271" t="inlineStr">
        <is>
          <t>HALLANDS LÄN</t>
        </is>
      </c>
      <c r="G271" t="inlineStr">
        <is>
          <t>KUNGSBACKA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46310</v>
      </c>
      <c r="F272" t="inlineStr">
        <is>
          <t>HALLANDS LÄN</t>
        </is>
      </c>
      <c r="G272" t="inlineStr">
        <is>
          <t>KUNGSBACKA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46310</v>
      </c>
      <c r="F273" t="inlineStr">
        <is>
          <t>HALLANDS LÄN</t>
        </is>
      </c>
      <c r="G273" t="inlineStr">
        <is>
          <t>KUNGSBACKA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46310</v>
      </c>
      <c r="F274" t="inlineStr">
        <is>
          <t>HALLANDS LÄN</t>
        </is>
      </c>
      <c r="G274" t="inlineStr">
        <is>
          <t>KUNGSBACKA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46310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46310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45510</v>
      </c>
      <c r="E277" s="1" t="n">
        <v>46310</v>
      </c>
      <c r="F277" t="inlineStr">
        <is>
          <t>HALLANDS LÄN</t>
        </is>
      </c>
      <c r="G277" t="inlineStr">
        <is>
          <t>KUNGSBACKA</t>
        </is>
      </c>
      <c r="H277" t="inlineStr">
        <is>
          <t>Kyrkan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46310</v>
      </c>
      <c r="F278" t="inlineStr">
        <is>
          <t>HALLANDS LÄN</t>
        </is>
      </c>
      <c r="G278" t="inlineStr">
        <is>
          <t>KUNGSBACKA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46295</v>
      </c>
      <c r="E279" s="1" t="n">
        <v>46310</v>
      </c>
      <c r="F279" t="inlineStr">
        <is>
          <t>HALLANDS LÄN</t>
        </is>
      </c>
      <c r="G279" t="inlineStr">
        <is>
          <t>KUNGSBACKA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46295</v>
      </c>
      <c r="E280" s="1" t="n">
        <v>46310</v>
      </c>
      <c r="F280" t="inlineStr">
        <is>
          <t>HALLANDS LÄN</t>
        </is>
      </c>
      <c r="G280" t="inlineStr">
        <is>
          <t>KUNGSBACKA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48754-2023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45208</v>
      </c>
      <c r="E281" s="1" t="n">
        <v>46310</v>
      </c>
      <c r="F281" t="inlineStr">
        <is>
          <t>HALLANDS LÄN</t>
        </is>
      </c>
      <c r="G281" t="inlineStr">
        <is>
          <t>KUNGSBACKA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40520-2026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46295</v>
      </c>
      <c r="E282" s="1" t="n">
        <v>46310</v>
      </c>
      <c r="F282" t="inlineStr">
        <is>
          <t>HALLANDS LÄN</t>
        </is>
      </c>
      <c r="G282" t="inlineStr">
        <is>
          <t>KUNGSBACKA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46295</v>
      </c>
      <c r="E283" s="1" t="n">
        <v>46310</v>
      </c>
      <c r="F283" t="inlineStr">
        <is>
          <t>HALLANDS LÄN</t>
        </is>
      </c>
      <c r="G283" t="inlineStr">
        <is>
          <t>KUNGSBACKA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46310</v>
      </c>
      <c r="F284" t="inlineStr">
        <is>
          <t>HALLANDS LÄN</t>
        </is>
      </c>
      <c r="G284" t="inlineStr">
        <is>
          <t>KUNGSBACKA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46295</v>
      </c>
      <c r="E285" s="1" t="n">
        <v>46310</v>
      </c>
      <c r="F285" t="inlineStr">
        <is>
          <t>HALLANDS LÄN</t>
        </is>
      </c>
      <c r="G285" t="inlineStr">
        <is>
          <t>KUNGSBACKA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HYPERLINK("https://klasma.github.io/Logging_1384/knärot/A 40511-2026 karta knärot.png", "A 40511-2026")</f>
        <v/>
      </c>
      <c r="AA285">
        <f>HYPERLINK("https://klasma.github.io/Logging_1384/klagomål/A 40511-2026 FSC-klagomål.docx", "A 40511-2026")</f>
        <v/>
      </c>
      <c r="AB285">
        <f>HYPERLINK("https://klasma.github.io/Logging_1384/klagomålsmail/A 40511-2026 FSC-klagomål mail.docx", "A 40511-2026")</f>
        <v/>
      </c>
      <c r="AC285">
        <f>HYPERLINK("https://klasma.github.io/Logging_1384/tillsyn/A 40511-2026 tillsynsbegäran.docx", "A 40511-2026")</f>
        <v/>
      </c>
      <c r="AD285">
        <f>HYPERLINK("https://klasma.github.io/Logging_1384/tillsynsmail/A 40511-2026 tillsynsbegäran mail.docx", "A 40511-2026")</f>
        <v/>
      </c>
    </row>
    <row r="286" ht="15" customHeight="1">
      <c r="A286" t="inlineStr">
        <is>
          <t>A 27287-2023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46310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46310</v>
      </c>
      <c r="F287" t="inlineStr">
        <is>
          <t>HALLANDS LÄN</t>
        </is>
      </c>
      <c r="G287" t="inlineStr">
        <is>
          <t>KUNGSBACKA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44869</v>
      </c>
      <c r="E288" s="1" t="n">
        <v>46310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46310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46310</v>
      </c>
      <c r="F290" t="inlineStr">
        <is>
          <t>HALLANDS LÄN</t>
        </is>
      </c>
      <c r="G290" t="inlineStr">
        <is>
          <t>KUNGSBACKA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42412-2022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46310</v>
      </c>
      <c r="F291" t="inlineStr">
        <is>
          <t>HALLANDS LÄN</t>
        </is>
      </c>
      <c r="G291" t="inlineStr">
        <is>
          <t>KUNGSBACKA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45749</v>
      </c>
      <c r="E292" s="1" t="n">
        <v>46310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46258</v>
      </c>
      <c r="E293" s="1" t="n">
        <v>46310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46310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46310</v>
      </c>
      <c r="F295" t="inlineStr">
        <is>
          <t>HALLANDS LÄN</t>
        </is>
      </c>
      <c r="G295" t="inlineStr">
        <is>
          <t>KUNGSBACKA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46310</v>
      </c>
      <c r="F296" t="inlineStr">
        <is>
          <t>HALLANDS LÄN</t>
        </is>
      </c>
      <c r="G296" t="inlineStr">
        <is>
          <t>KUNGSBACKA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44693</v>
      </c>
      <c r="E297" s="1" t="n">
        <v>46310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62742-2022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44925</v>
      </c>
      <c r="E298" s="1" t="n">
        <v>46310</v>
      </c>
      <c r="F298" t="inlineStr">
        <is>
          <t>HALLANDS LÄN</t>
        </is>
      </c>
      <c r="G298" t="inlineStr">
        <is>
          <t>KUNGSBACKA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46310</v>
      </c>
      <c r="F299" t="inlineStr">
        <is>
          <t>HALLANDS LÄN</t>
        </is>
      </c>
      <c r="G299" t="inlineStr">
        <is>
          <t>KUNGSBACKA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46310</v>
      </c>
      <c r="F300" t="inlineStr">
        <is>
          <t>HALLANDS LÄN</t>
        </is>
      </c>
      <c r="G300" t="inlineStr">
        <is>
          <t>KUNGSBACKA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46310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46310</v>
      </c>
      <c r="F302" t="inlineStr">
        <is>
          <t>HALLANDS LÄN</t>
        </is>
      </c>
      <c r="G302" t="inlineStr">
        <is>
          <t>KUNGSBACKA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44999</v>
      </c>
      <c r="E303" s="1" t="n">
        <v>46310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46260</v>
      </c>
      <c r="E304" s="1" t="n">
        <v>46310</v>
      </c>
      <c r="F304" t="inlineStr">
        <is>
          <t>HALLANDS LÄN</t>
        </is>
      </c>
      <c r="G304" t="inlineStr">
        <is>
          <t>KUNGSBACKA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46310</v>
      </c>
      <c r="F305" t="inlineStr">
        <is>
          <t>HALLANDS LÄN</t>
        </is>
      </c>
      <c r="G305" t="inlineStr">
        <is>
          <t>KUNGSBACKA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46310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46310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46307</v>
      </c>
      <c r="E308" s="1" t="n">
        <v>46310</v>
      </c>
      <c r="F308" t="inlineStr">
        <is>
          <t>HALLANDS LÄN</t>
        </is>
      </c>
      <c r="G308" t="inlineStr">
        <is>
          <t>KUNGSBACKA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46310</v>
      </c>
      <c r="F309" t="inlineStr">
        <is>
          <t>HALLANDS LÄN</t>
        </is>
      </c>
      <c r="G309" t="inlineStr">
        <is>
          <t>KUNGSBACKA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46310</v>
      </c>
      <c r="F310" t="inlineStr">
        <is>
          <t>HALLANDS LÄN</t>
        </is>
      </c>
      <c r="G310" t="inlineStr">
        <is>
          <t>KUNGSBACKA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46310</v>
      </c>
      <c r="F311" t="inlineStr">
        <is>
          <t>HALLANDS LÄN</t>
        </is>
      </c>
      <c r="G311" t="inlineStr">
        <is>
          <t>KUNGSBACKA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46310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46309</v>
      </c>
      <c r="E313" s="1" t="n">
        <v>46310</v>
      </c>
      <c r="F313" t="inlineStr">
        <is>
          <t>HALLANDS LÄN</t>
        </is>
      </c>
      <c r="G313" t="inlineStr">
        <is>
          <t>KUNGSBACKA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46310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46310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2026-10-15T02:05:27Z</dcterms:created>
  <dcterms:modified xmlns:dcterms="http://purl.org/dc/terms/" xmlns:xsi="http://www.w3.org/2001/XMLSchema-instance" xsi:type="dcterms:W3CDTF">2026-10-15T02:05:27Z</dcterms:modified>
</cp:coreProperties>
</file>