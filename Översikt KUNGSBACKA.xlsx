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46298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46298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46298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46298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46298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46298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46298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46298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46298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46298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46298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46298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46298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46298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46298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46298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46298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46298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46298</v>
      </c>
      <c r="F25" t="inlineStr">
        <is>
          <t>HALLANDS LÄN</t>
        </is>
      </c>
      <c r="G25" t="inlineStr">
        <is>
          <t>KUNGSBACKA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HYPERLINK("https://klasma.github.io/Logging_1384/artfynd/A 7718-2025 artfynd.xlsx", "A 7718-2025")</f>
        <v/>
      </c>
      <c r="X25">
        <f>HYPERLINK("https://klasma.github.io/Logging_1384/kartor/A 7718-2025 karta.png", "A 7718-2025")</f>
        <v/>
      </c>
      <c r="Y25">
        <f>HYPERLINK("https://klasma.github.io/Logging_1384/kartor_geotiff/A 7718-2025 georefererad karta.tif", "A 7718-2025")</f>
        <v/>
      </c>
      <c r="AA25">
        <f>HYPERLINK("https://klasma.github.io/Logging_1384/klagomål/A 7718-2025 FSC-klagomål.docx", "A 7718-2025")</f>
        <v/>
      </c>
      <c r="AB25">
        <f>HYPERLINK("https://klasma.github.io/Logging_1384/klagomålsmail/A 7718-2025 FSC-klagomål mail.docx", "A 7718-2025")</f>
        <v/>
      </c>
      <c r="AC25">
        <f>HYPERLINK("https://klasma.github.io/Logging_1384/tillsyn/A 7718-2025 tillsynsbegäran.docx", "A 7718-2025")</f>
        <v/>
      </c>
      <c r="AD25">
        <f>HYPERLINK("https://klasma.github.io/Logging_1384/tillsynsmail/A 7718-2025 tillsynsbegäran mail.docx", "A 7718-2025")</f>
        <v/>
      </c>
      <c r="AE25">
        <f>HYPERLINK("https://klasma.github.io/Logging_1384/fåglar/A 7718-2025 prioriterade fågelarter.docx", "A 7718-2025")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46298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46298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46298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35165-2026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46298</v>
      </c>
      <c r="F29" t="inlineStr">
        <is>
          <t>HALLANDS LÄN</t>
        </is>
      </c>
      <c r="G29" t="inlineStr">
        <is>
          <t>KUNGSBACKA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HYPERLINK("https://klasma.github.io/Logging_1384/artfynd/A 35165-2026 artfynd.xlsx", "A 35165-2026")</f>
        <v/>
      </c>
      <c r="X29">
        <f>HYPERLINK("https://klasma.github.io/Logging_1384/kartor/A 35165-2026 karta.png", "A 35165-2026")</f>
        <v/>
      </c>
      <c r="Y29">
        <f>HYPERLINK("https://klasma.github.io/Logging_1384/kartor_geotiff/A 35165-2026 georefererad karta.tif", "A 35165-2026")</f>
        <v/>
      </c>
      <c r="AA29">
        <f>HYPERLINK("https://klasma.github.io/Logging_1384/klagomål/A 35165-2026 FSC-klagomål.docx", "A 35165-2026")</f>
        <v/>
      </c>
      <c r="AB29">
        <f>HYPERLINK("https://klasma.github.io/Logging_1384/klagomålsmail/A 35165-2026 FSC-klagomål mail.docx", "A 35165-2026")</f>
        <v/>
      </c>
      <c r="AC29">
        <f>HYPERLINK("https://klasma.github.io/Logging_1384/tillsyn/A 35165-2026 tillsynsbegäran.docx", "A 35165-2026")</f>
        <v/>
      </c>
      <c r="AD29">
        <f>HYPERLINK("https://klasma.github.io/Logging_1384/tillsynsmail/A 35165-2026 tillsynsbegäran mail.docx", "A 35165-2026")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46298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46298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46298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46298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46298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46298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46298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46298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46298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46298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46298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46298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46298</v>
      </c>
      <c r="F44" t="inlineStr">
        <is>
          <t>HALLANDS LÄN</t>
        </is>
      </c>
      <c r="G44" t="inlineStr">
        <is>
          <t>KUNGSBACKA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46298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49492-2024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45596</v>
      </c>
      <c r="E46" s="1" t="n">
        <v>46298</v>
      </c>
      <c r="F46" t="inlineStr">
        <is>
          <t>HALLANDS LÄN</t>
        </is>
      </c>
      <c r="G46" t="inlineStr">
        <is>
          <t>KUNGSBACKA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46298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46298</v>
      </c>
      <c r="F48" t="inlineStr">
        <is>
          <t>HALLANDS LÄN</t>
        </is>
      </c>
      <c r="G48" t="inlineStr">
        <is>
          <t>KUNGSBACKA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46298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46298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46298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46298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46298</v>
      </c>
      <c r="F53" t="inlineStr">
        <is>
          <t>HALLANDS LÄN</t>
        </is>
      </c>
      <c r="G53" t="inlineStr">
        <is>
          <t>KUNGSBACKA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46298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46298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46298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46298</v>
      </c>
      <c r="F57" t="inlineStr">
        <is>
          <t>HALLANDS LÄN</t>
        </is>
      </c>
      <c r="G57" t="inlineStr">
        <is>
          <t>KUNGSBACKA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45888</v>
      </c>
      <c r="E58" s="1" t="n">
        <v>46298</v>
      </c>
      <c r="F58" t="inlineStr">
        <is>
          <t>HALLANDS LÄN</t>
        </is>
      </c>
      <c r="G58" t="inlineStr">
        <is>
          <t>KUNGSBACKA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46298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46298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46298</v>
      </c>
      <c r="F61" t="inlineStr">
        <is>
          <t>HALLANDS LÄN</t>
        </is>
      </c>
      <c r="G61" t="inlineStr">
        <is>
          <t>KUNGSBACKA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44925</v>
      </c>
      <c r="E62" s="1" t="n">
        <v>46298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46027</v>
      </c>
      <c r="E63" s="1" t="n">
        <v>46298</v>
      </c>
      <c r="F63" t="inlineStr">
        <is>
          <t>HALLANDS LÄN</t>
        </is>
      </c>
      <c r="G63" t="inlineStr">
        <is>
          <t>KUNGSBACKA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46298</v>
      </c>
      <c r="F64" t="inlineStr">
        <is>
          <t>HALLANDS LÄN</t>
        </is>
      </c>
      <c r="G64" t="inlineStr">
        <is>
          <t>KUNGSBACKA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46298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45653</v>
      </c>
      <c r="E66" s="1" t="n">
        <v>46298</v>
      </c>
      <c r="F66" t="inlineStr">
        <is>
          <t>HALLANDS LÄN</t>
        </is>
      </c>
      <c r="G66" t="inlineStr">
        <is>
          <t>KUNGSBACKA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46298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46298</v>
      </c>
      <c r="F68" t="inlineStr">
        <is>
          <t>HALLANDS LÄN</t>
        </is>
      </c>
      <c r="G68" t="inlineStr">
        <is>
          <t>KUNGSBACKA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46298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45638</v>
      </c>
      <c r="E70" s="1" t="n">
        <v>46298</v>
      </c>
      <c r="F70" t="inlineStr">
        <is>
          <t>HALLANDS LÄN</t>
        </is>
      </c>
      <c r="G70" t="inlineStr">
        <is>
          <t>KUNGSBACKA</t>
        </is>
      </c>
      <c r="I70" t="n">
        <v>19.2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46298</v>
      </c>
      <c r="F71" t="inlineStr">
        <is>
          <t>HALLANDS LÄN</t>
        </is>
      </c>
      <c r="G71" t="inlineStr">
        <is>
          <t>KUNGSBACKA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45659</v>
      </c>
      <c r="E72" s="1" t="n">
        <v>46298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46298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46298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46298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46298</v>
      </c>
      <c r="F76" t="inlineStr">
        <is>
          <t>HALLANDS LÄN</t>
        </is>
      </c>
      <c r="G76" t="inlineStr">
        <is>
          <t>KUNGSBACKA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46298</v>
      </c>
      <c r="F77" t="inlineStr">
        <is>
          <t>HALLANDS LÄN</t>
        </is>
      </c>
      <c r="G77" t="inlineStr">
        <is>
          <t>KUNGSBACKA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46298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25269-2025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45800</v>
      </c>
      <c r="E79" s="1" t="n">
        <v>46298</v>
      </c>
      <c r="F79" t="inlineStr">
        <is>
          <t>HALLANDS LÄN</t>
        </is>
      </c>
      <c r="G79" t="inlineStr">
        <is>
          <t>KUNGSBACKA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46298</v>
      </c>
      <c r="F80" t="inlineStr">
        <is>
          <t>HALLANDS LÄN</t>
        </is>
      </c>
      <c r="G80" t="inlineStr">
        <is>
          <t>KUNGSBACKA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46298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46054</v>
      </c>
      <c r="E82" s="1" t="n">
        <v>46298</v>
      </c>
      <c r="F82" t="inlineStr">
        <is>
          <t>HALLANDS LÄN</t>
        </is>
      </c>
      <c r="G82" t="inlineStr">
        <is>
          <t>KUNGSBACKA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46298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46054</v>
      </c>
      <c r="E84" s="1" t="n">
        <v>46298</v>
      </c>
      <c r="F84" t="inlineStr">
        <is>
          <t>HALLANDS LÄN</t>
        </is>
      </c>
      <c r="G84" t="inlineStr">
        <is>
          <t>KUNGSBACKA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46054</v>
      </c>
      <c r="E85" s="1" t="n">
        <v>46298</v>
      </c>
      <c r="F85" t="inlineStr">
        <is>
          <t>HALLANDS LÄN</t>
        </is>
      </c>
      <c r="G85" t="inlineStr">
        <is>
          <t>KUNGSBACKA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46298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44613</v>
      </c>
      <c r="E87" s="1" t="n">
        <v>46298</v>
      </c>
      <c r="F87" t="inlineStr">
        <is>
          <t>HALLANDS LÄN</t>
        </is>
      </c>
      <c r="G87" t="inlineStr">
        <is>
          <t>KUNGSBACKA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46298</v>
      </c>
      <c r="F88" t="inlineStr">
        <is>
          <t>HALLANDS LÄN</t>
        </is>
      </c>
      <c r="G88" t="inlineStr">
        <is>
          <t>KUNGSBACKA</t>
        </is>
      </c>
      <c r="H88" t="inlineStr">
        <is>
          <t>Kommuner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46298</v>
      </c>
      <c r="F89" t="inlineStr">
        <is>
          <t>HALLANDS LÄN</t>
        </is>
      </c>
      <c r="G89" t="inlineStr">
        <is>
          <t>KUNGSBACKA</t>
        </is>
      </c>
      <c r="I89" t="n">
        <v>15.2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46298</v>
      </c>
      <c r="F90" t="inlineStr">
        <is>
          <t>HALLANDS LÄN</t>
        </is>
      </c>
      <c r="G90" t="inlineStr">
        <is>
          <t>KUNGSBACKA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45242</v>
      </c>
      <c r="E91" s="1" t="n">
        <v>46298</v>
      </c>
      <c r="F91" t="inlineStr">
        <is>
          <t>HALLANDS LÄN</t>
        </is>
      </c>
      <c r="G91" t="inlineStr">
        <is>
          <t>KUNGSBACKA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45242</v>
      </c>
      <c r="E92" s="1" t="n">
        <v>46298</v>
      </c>
      <c r="F92" t="inlineStr">
        <is>
          <t>HALLANDS LÄN</t>
        </is>
      </c>
      <c r="G92" t="inlineStr">
        <is>
          <t>KUNGSBACKA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46298</v>
      </c>
      <c r="F93" t="inlineStr">
        <is>
          <t>HALLANDS LÄN</t>
        </is>
      </c>
      <c r="G93" t="inlineStr">
        <is>
          <t>KUNGSBACKA</t>
        </is>
      </c>
      <c r="H93" t="inlineStr">
        <is>
          <t>Kommuner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46298</v>
      </c>
      <c r="F94" t="inlineStr">
        <is>
          <t>HALLANDS LÄN</t>
        </is>
      </c>
      <c r="G94" t="inlineStr">
        <is>
          <t>KUNGSBACKA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14898-2023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45014</v>
      </c>
      <c r="E95" s="1" t="n">
        <v>46298</v>
      </c>
      <c r="F95" t="inlineStr">
        <is>
          <t>HALLANDS LÄN</t>
        </is>
      </c>
      <c r="G95" t="inlineStr">
        <is>
          <t>KUNGSBACKA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46298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46298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46298</v>
      </c>
      <c r="F98" t="inlineStr">
        <is>
          <t>HALLANDS LÄN</t>
        </is>
      </c>
      <c r="G98" t="inlineStr">
        <is>
          <t>KUNGSBACKA</t>
        </is>
      </c>
      <c r="I98" t="n">
        <v>13.8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46298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46298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10949-2024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45370</v>
      </c>
      <c r="E101" s="1" t="n">
        <v>46298</v>
      </c>
      <c r="F101" t="inlineStr">
        <is>
          <t>HALLANDS LÄN</t>
        </is>
      </c>
      <c r="G101" t="inlineStr">
        <is>
          <t>KUNGSBACKA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10799-2026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46298</v>
      </c>
      <c r="F102" t="inlineStr">
        <is>
          <t>HALLANDS LÄN</t>
        </is>
      </c>
      <c r="G102" t="inlineStr">
        <is>
          <t>KUNGSBACKA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58118-2021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46298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46298</v>
      </c>
      <c r="F104" t="inlineStr">
        <is>
          <t>HALLANDS LÄN</t>
        </is>
      </c>
      <c r="G104" t="inlineStr">
        <is>
          <t>KUNGSBACKA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46298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46298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46298</v>
      </c>
      <c r="F107" t="inlineStr">
        <is>
          <t>HALLANDS LÄN</t>
        </is>
      </c>
      <c r="G107" t="inlineStr">
        <is>
          <t>KUNGSBACKA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51523-2025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45950</v>
      </c>
      <c r="E108" s="1" t="n">
        <v>46298</v>
      </c>
      <c r="F108" t="inlineStr">
        <is>
          <t>HALLANDS LÄN</t>
        </is>
      </c>
      <c r="G108" t="inlineStr">
        <is>
          <t>KUNGSBACKA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46298</v>
      </c>
      <c r="F109" t="inlineStr">
        <is>
          <t>HALLANDS LÄN</t>
        </is>
      </c>
      <c r="G109" t="inlineStr">
        <is>
          <t>KUNGSBACKA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46298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46298</v>
      </c>
      <c r="F111" t="inlineStr">
        <is>
          <t>HALLANDS LÄN</t>
        </is>
      </c>
      <c r="G111" t="inlineStr">
        <is>
          <t>KUNGSBACKA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46298</v>
      </c>
      <c r="F112" t="inlineStr">
        <is>
          <t>HALLANDS LÄN</t>
        </is>
      </c>
      <c r="G112" t="inlineStr">
        <is>
          <t>KUNGSBACKA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46298</v>
      </c>
      <c r="F113" t="inlineStr">
        <is>
          <t>HALLANDS LÄN</t>
        </is>
      </c>
      <c r="G113" t="inlineStr">
        <is>
          <t>KUNGSBACKA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45071</v>
      </c>
      <c r="E114" s="1" t="n">
        <v>46298</v>
      </c>
      <c r="F114" t="inlineStr">
        <is>
          <t>HALLANDS LÄN</t>
        </is>
      </c>
      <c r="G114" t="inlineStr">
        <is>
          <t>KUNGSBACKA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46298</v>
      </c>
      <c r="F115" t="inlineStr">
        <is>
          <t>HALLANDS LÄN</t>
        </is>
      </c>
      <c r="G115" t="inlineStr">
        <is>
          <t>KUNGSBACKA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55272-2025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45968</v>
      </c>
      <c r="E116" s="1" t="n">
        <v>46298</v>
      </c>
      <c r="F116" t="inlineStr">
        <is>
          <t>HALLANDS LÄN</t>
        </is>
      </c>
      <c r="G116" t="inlineStr">
        <is>
          <t>KUNGSBACKA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46298</v>
      </c>
      <c r="F117" t="inlineStr">
        <is>
          <t>HALLANDS LÄN</t>
        </is>
      </c>
      <c r="G117" t="inlineStr">
        <is>
          <t>KUNGSBACKA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46298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46298</v>
      </c>
      <c r="F119" t="inlineStr">
        <is>
          <t>HALLANDS LÄN</t>
        </is>
      </c>
      <c r="G119" t="inlineStr">
        <is>
          <t>KUNGSBACKA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46298</v>
      </c>
      <c r="F120" t="inlineStr">
        <is>
          <t>HALLANDS LÄN</t>
        </is>
      </c>
      <c r="G120" t="inlineStr">
        <is>
          <t>KUNGSBACKA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46298</v>
      </c>
      <c r="F121" t="inlineStr">
        <is>
          <t>HALLANDS LÄN</t>
        </is>
      </c>
      <c r="G121" t="inlineStr">
        <is>
          <t>KUNGSBACKA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18077-2026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46125</v>
      </c>
      <c r="E122" s="1" t="n">
        <v>46298</v>
      </c>
      <c r="F122" t="inlineStr">
        <is>
          <t>HALLANDS LÄN</t>
        </is>
      </c>
      <c r="G122" t="inlineStr">
        <is>
          <t>KUNGSBACKA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46298</v>
      </c>
      <c r="F123" t="inlineStr">
        <is>
          <t>HALLANDS LÄN</t>
        </is>
      </c>
      <c r="G123" t="inlineStr">
        <is>
          <t>KUNGSBACKA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46298</v>
      </c>
      <c r="F124" t="inlineStr">
        <is>
          <t>HALLANDS LÄN</t>
        </is>
      </c>
      <c r="G124" t="inlineStr">
        <is>
          <t>KUNGSBACKA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44684</v>
      </c>
      <c r="E125" s="1" t="n">
        <v>46298</v>
      </c>
      <c r="F125" t="inlineStr">
        <is>
          <t>HALLANDS LÄN</t>
        </is>
      </c>
      <c r="G125" t="inlineStr">
        <is>
          <t>KUNGSBACKA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46298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44851</v>
      </c>
      <c r="E127" s="1" t="n">
        <v>46298</v>
      </c>
      <c r="F127" t="inlineStr">
        <is>
          <t>HALLANDS LÄN</t>
        </is>
      </c>
      <c r="G127" t="inlineStr">
        <is>
          <t>KUNGSBACKA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46298</v>
      </c>
      <c r="F128" t="inlineStr">
        <is>
          <t>HALLANDS LÄN</t>
        </is>
      </c>
      <c r="G128" t="inlineStr">
        <is>
          <t>KUNGSBACKA</t>
        </is>
      </c>
      <c r="H128" t="inlineStr">
        <is>
          <t>Kyrkan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46298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45801</v>
      </c>
      <c r="E130" s="1" t="n">
        <v>46298</v>
      </c>
      <c r="F130" t="inlineStr">
        <is>
          <t>HALLANDS LÄN</t>
        </is>
      </c>
      <c r="G130" t="inlineStr">
        <is>
          <t>KUNGSBACKA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46298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46298</v>
      </c>
      <c r="F132" t="inlineStr">
        <is>
          <t>HALLANDS LÄN</t>
        </is>
      </c>
      <c r="G132" t="inlineStr">
        <is>
          <t>KUNGSBACKA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46298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46298</v>
      </c>
      <c r="F134" t="inlineStr">
        <is>
          <t>HALLANDS LÄN</t>
        </is>
      </c>
      <c r="G134" t="inlineStr">
        <is>
          <t>KUNGSBACKA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45532</v>
      </c>
      <c r="E135" s="1" t="n">
        <v>46298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46298</v>
      </c>
      <c r="F136" t="inlineStr">
        <is>
          <t>HALLANDS LÄN</t>
        </is>
      </c>
      <c r="G136" t="inlineStr">
        <is>
          <t>KUNGSBACKA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36284-2025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45867</v>
      </c>
      <c r="E137" s="1" t="n">
        <v>46298</v>
      </c>
      <c r="F137" t="inlineStr">
        <is>
          <t>HALLANDS LÄN</t>
        </is>
      </c>
      <c r="G137" t="inlineStr">
        <is>
          <t>KUNGSBACKA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46298</v>
      </c>
      <c r="F138" t="inlineStr">
        <is>
          <t>HALLANDS LÄN</t>
        </is>
      </c>
      <c r="G138" t="inlineStr">
        <is>
          <t>KUNGSBACKA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46298</v>
      </c>
      <c r="F139" t="inlineStr">
        <is>
          <t>HALLANDS LÄN</t>
        </is>
      </c>
      <c r="G139" t="inlineStr">
        <is>
          <t>KUNGSBACKA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46298</v>
      </c>
      <c r="F140" t="inlineStr">
        <is>
          <t>HALLANDS LÄN</t>
        </is>
      </c>
      <c r="G140" t="inlineStr">
        <is>
          <t>KUNGSBACKA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46298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45848</v>
      </c>
      <c r="E142" s="1" t="n">
        <v>46298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46298</v>
      </c>
      <c r="F143" t="inlineStr">
        <is>
          <t>HALLANDS LÄN</t>
        </is>
      </c>
      <c r="G143" t="inlineStr">
        <is>
          <t>KUNGSBACKA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34975-2025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45849</v>
      </c>
      <c r="E144" s="1" t="n">
        <v>46298</v>
      </c>
      <c r="F144" t="inlineStr">
        <is>
          <t>HALLANDS LÄN</t>
        </is>
      </c>
      <c r="G144" t="inlineStr">
        <is>
          <t>KUNGSBACKA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45323</v>
      </c>
      <c r="E145" s="1" t="n">
        <v>46298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46298</v>
      </c>
      <c r="F146" t="inlineStr">
        <is>
          <t>HALLANDS LÄN</t>
        </is>
      </c>
      <c r="G146" t="inlineStr">
        <is>
          <t>KUNGSBACKA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46298</v>
      </c>
      <c r="F147" t="inlineStr">
        <is>
          <t>HALLANDS LÄN</t>
        </is>
      </c>
      <c r="G147" t="inlineStr">
        <is>
          <t>KUNGSBACKA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46298</v>
      </c>
      <c r="F148" t="inlineStr">
        <is>
          <t>HALLANDS LÄN</t>
        </is>
      </c>
      <c r="G148" t="inlineStr">
        <is>
          <t>KUNGSBACKA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46298</v>
      </c>
      <c r="F149" t="inlineStr">
        <is>
          <t>HALLANDS LÄN</t>
        </is>
      </c>
      <c r="G149" t="inlineStr">
        <is>
          <t>KUNGSBACKA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46298</v>
      </c>
      <c r="F150" t="inlineStr">
        <is>
          <t>HALLANDS LÄN</t>
        </is>
      </c>
      <c r="G150" t="inlineStr">
        <is>
          <t>KUNGSBACKA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46298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46298</v>
      </c>
      <c r="F152" t="inlineStr">
        <is>
          <t>HALLANDS LÄN</t>
        </is>
      </c>
      <c r="G152" t="inlineStr">
        <is>
          <t>KUNGSBACKA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48406-2023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46298</v>
      </c>
      <c r="F153" t="inlineStr">
        <is>
          <t>HALLANDS LÄN</t>
        </is>
      </c>
      <c r="G153" t="inlineStr">
        <is>
          <t>KUNGSBACKA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45861</v>
      </c>
      <c r="E154" s="1" t="n">
        <v>46298</v>
      </c>
      <c r="F154" t="inlineStr">
        <is>
          <t>HALLANDS LÄN</t>
        </is>
      </c>
      <c r="G154" t="inlineStr">
        <is>
          <t>KUNGSBACKA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46298</v>
      </c>
      <c r="F155" t="inlineStr">
        <is>
          <t>HALLANDS LÄN</t>
        </is>
      </c>
      <c r="G155" t="inlineStr">
        <is>
          <t>KUNGSBACKA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46298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46298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46298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46298</v>
      </c>
      <c r="F159" t="inlineStr">
        <is>
          <t>HALLANDS LÄN</t>
        </is>
      </c>
      <c r="G159" t="inlineStr">
        <is>
          <t>KUNGSBACKA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46298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46298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46298</v>
      </c>
      <c r="F162" t="inlineStr">
        <is>
          <t>HALLANDS LÄN</t>
        </is>
      </c>
      <c r="G162" t="inlineStr">
        <is>
          <t>KUNGSBACKA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45356</v>
      </c>
      <c r="E163" s="1" t="n">
        <v>46298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46298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46298</v>
      </c>
      <c r="F165" t="inlineStr">
        <is>
          <t>HALLANDS LÄN</t>
        </is>
      </c>
      <c r="G165" t="inlineStr">
        <is>
          <t>KUNGSBACKA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46298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46298</v>
      </c>
      <c r="F167" t="inlineStr">
        <is>
          <t>HALLANDS LÄN</t>
        </is>
      </c>
      <c r="G167" t="inlineStr">
        <is>
          <t>KUNGSBACKA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46298</v>
      </c>
      <c r="F168" t="inlineStr">
        <is>
          <t>HALLANDS LÄN</t>
        </is>
      </c>
      <c r="G168" t="inlineStr">
        <is>
          <t>KUNGSBACKA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46298</v>
      </c>
      <c r="F169" t="inlineStr">
        <is>
          <t>HALLANDS LÄN</t>
        </is>
      </c>
      <c r="G169" t="inlineStr">
        <is>
          <t>KUNGSBACKA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46298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46298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46298</v>
      </c>
      <c r="F172" t="inlineStr">
        <is>
          <t>HALLANDS LÄN</t>
        </is>
      </c>
      <c r="G172" t="inlineStr">
        <is>
          <t>KUNGSBACKA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44925</v>
      </c>
      <c r="E173" s="1" t="n">
        <v>46298</v>
      </c>
      <c r="F173" t="inlineStr">
        <is>
          <t>HALLANDS LÄN</t>
        </is>
      </c>
      <c r="G173" t="inlineStr">
        <is>
          <t>KUNGSBACKA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46298</v>
      </c>
      <c r="F174" t="inlineStr">
        <is>
          <t>HALLANDS LÄN</t>
        </is>
      </c>
      <c r="G174" t="inlineStr">
        <is>
          <t>KUNGSBACKA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45639</v>
      </c>
      <c r="E175" s="1" t="n">
        <v>46298</v>
      </c>
      <c r="F175" t="inlineStr">
        <is>
          <t>HALLANDS LÄN</t>
        </is>
      </c>
      <c r="G175" t="inlineStr">
        <is>
          <t>KUNGSBACKA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46298</v>
      </c>
      <c r="F176" t="inlineStr">
        <is>
          <t>HALLANDS LÄN</t>
        </is>
      </c>
      <c r="G176" t="inlineStr">
        <is>
          <t>KUNGSBACKA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46298</v>
      </c>
      <c r="F177" t="inlineStr">
        <is>
          <t>HALLANDS LÄN</t>
        </is>
      </c>
      <c r="G177" t="inlineStr">
        <is>
          <t>KUNGSBACKA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45847</v>
      </c>
      <c r="E178" s="1" t="n">
        <v>46298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46298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46298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46298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46298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46298</v>
      </c>
      <c r="F183" t="inlineStr">
        <is>
          <t>HALLANDS LÄN</t>
        </is>
      </c>
      <c r="G183" t="inlineStr">
        <is>
          <t>KUNGSBACKA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46298</v>
      </c>
      <c r="F184" t="inlineStr">
        <is>
          <t>HALLANDS LÄN</t>
        </is>
      </c>
      <c r="G184" t="inlineStr">
        <is>
          <t>KUNGSBACKA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46298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45329</v>
      </c>
      <c r="E186" s="1" t="n">
        <v>46298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45062</v>
      </c>
      <c r="E187" s="1" t="n">
        <v>46298</v>
      </c>
      <c r="F187" t="inlineStr">
        <is>
          <t>HALLANDS LÄN</t>
        </is>
      </c>
      <c r="G187" t="inlineStr">
        <is>
          <t>KUNGSBACKA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46298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46298</v>
      </c>
      <c r="F189" t="inlineStr">
        <is>
          <t>HALLANDS LÄN</t>
        </is>
      </c>
      <c r="G189" t="inlineStr">
        <is>
          <t>KUNGSBACKA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45028</v>
      </c>
      <c r="E190" s="1" t="n">
        <v>46298</v>
      </c>
      <c r="F190" t="inlineStr">
        <is>
          <t>HALLANDS LÄN</t>
        </is>
      </c>
      <c r="G190" t="inlineStr">
        <is>
          <t>KUNGSBACKA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46298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46298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46298</v>
      </c>
      <c r="F193" t="inlineStr">
        <is>
          <t>HALLANDS LÄN</t>
        </is>
      </c>
      <c r="G193" t="inlineStr">
        <is>
          <t>KUNGSBACKA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44539</v>
      </c>
      <c r="E194" s="1" t="n">
        <v>46298</v>
      </c>
      <c r="F194" t="inlineStr">
        <is>
          <t>HALLANDS LÄN</t>
        </is>
      </c>
      <c r="G194" t="inlineStr">
        <is>
          <t>KUNGSBACKA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46298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46298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46298</v>
      </c>
      <c r="F197" t="inlineStr">
        <is>
          <t>HALLANDS LÄN</t>
        </is>
      </c>
      <c r="G197" t="inlineStr">
        <is>
          <t>KUNGSBACKA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46298</v>
      </c>
      <c r="F198" t="inlineStr">
        <is>
          <t>HALLANDS LÄN</t>
        </is>
      </c>
      <c r="G198" t="inlineStr">
        <is>
          <t>KUNGSBACKA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45686</v>
      </c>
      <c r="E199" s="1" t="n">
        <v>46298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46298</v>
      </c>
      <c r="F200" t="inlineStr">
        <is>
          <t>HALLANDS LÄN</t>
        </is>
      </c>
      <c r="G200" t="inlineStr">
        <is>
          <t>KUNGSBACKA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45656</v>
      </c>
      <c r="E201" s="1" t="n">
        <v>46298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45656</v>
      </c>
      <c r="E202" s="1" t="n">
        <v>46298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46298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45742</v>
      </c>
      <c r="E204" s="1" t="n">
        <v>46298</v>
      </c>
      <c r="F204" t="inlineStr">
        <is>
          <t>HALLANDS LÄN</t>
        </is>
      </c>
      <c r="G204" t="inlineStr">
        <is>
          <t>KUNGSBACKA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44869</v>
      </c>
      <c r="E205" s="1" t="n">
        <v>46298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46298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46298</v>
      </c>
      <c r="F207" t="inlineStr">
        <is>
          <t>HALLANDS LÄN</t>
        </is>
      </c>
      <c r="G207" t="inlineStr">
        <is>
          <t>KUNGSBACKA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46298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44674-2025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45917</v>
      </c>
      <c r="E209" s="1" t="n">
        <v>46298</v>
      </c>
      <c r="F209" t="inlineStr">
        <is>
          <t>HALLANDS LÄN</t>
        </is>
      </c>
      <c r="G209" t="inlineStr">
        <is>
          <t>KUNGSBACKA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46298</v>
      </c>
      <c r="F210" t="inlineStr">
        <is>
          <t>HALLANDS LÄN</t>
        </is>
      </c>
      <c r="G210" t="inlineStr">
        <is>
          <t>KUNGSBACKA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46298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46298</v>
      </c>
      <c r="F212" t="inlineStr">
        <is>
          <t>HALLANDS LÄN</t>
        </is>
      </c>
      <c r="G212" t="inlineStr">
        <is>
          <t>KUNGSBACKA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46298</v>
      </c>
      <c r="F213" t="inlineStr">
        <is>
          <t>HALLANDS LÄN</t>
        </is>
      </c>
      <c r="G213" t="inlineStr">
        <is>
          <t>KUNGSBACKA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46298</v>
      </c>
      <c r="F214" t="inlineStr">
        <is>
          <t>HALLANDS LÄN</t>
        </is>
      </c>
      <c r="G214" t="inlineStr">
        <is>
          <t>KUNGSBACKA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46298</v>
      </c>
      <c r="F215" t="inlineStr">
        <is>
          <t>HALLANDS LÄN</t>
        </is>
      </c>
      <c r="G215" t="inlineStr">
        <is>
          <t>KUNGSBACKA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46298</v>
      </c>
      <c r="F216" t="inlineStr">
        <is>
          <t>HALLANDS LÄN</t>
        </is>
      </c>
      <c r="G216" t="inlineStr">
        <is>
          <t>KUNGSBACKA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46298</v>
      </c>
      <c r="F217" t="inlineStr">
        <is>
          <t>HALLANDS LÄN</t>
        </is>
      </c>
      <c r="G217" t="inlineStr">
        <is>
          <t>KUNGSBACKA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45160</v>
      </c>
      <c r="E218" s="1" t="n">
        <v>46298</v>
      </c>
      <c r="F218" t="inlineStr">
        <is>
          <t>HALLANDS LÄN</t>
        </is>
      </c>
      <c r="G218" t="inlineStr">
        <is>
          <t>KUNGSBACKA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46298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46298</v>
      </c>
      <c r="F220" t="inlineStr">
        <is>
          <t>HALLANDS LÄN</t>
        </is>
      </c>
      <c r="G220" t="inlineStr">
        <is>
          <t>KUNGSBACKA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25337-2026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46176</v>
      </c>
      <c r="E221" s="1" t="n">
        <v>46298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46298</v>
      </c>
      <c r="F222" t="inlineStr">
        <is>
          <t>HALLANDS LÄN</t>
        </is>
      </c>
      <c r="G222" t="inlineStr">
        <is>
          <t>KUNGSBACKA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46298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46298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25351-2026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46176</v>
      </c>
      <c r="E225" s="1" t="n">
        <v>46298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46298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46298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46298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45219</v>
      </c>
      <c r="E229" s="1" t="n">
        <v>46298</v>
      </c>
      <c r="F229" t="inlineStr">
        <is>
          <t>HALLANDS LÄN</t>
        </is>
      </c>
      <c r="G229" t="inlineStr">
        <is>
          <t>KUNGSBACKA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46298</v>
      </c>
      <c r="F230" t="inlineStr">
        <is>
          <t>HALLANDS LÄN</t>
        </is>
      </c>
      <c r="G230" t="inlineStr">
        <is>
          <t>KUNGSBACKA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46298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46298</v>
      </c>
      <c r="F232" t="inlineStr">
        <is>
          <t>HALLANDS LÄN</t>
        </is>
      </c>
      <c r="G232" t="inlineStr">
        <is>
          <t>KUNGSBACKA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46298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26733-2026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46184</v>
      </c>
      <c r="E234" s="1" t="n">
        <v>46298</v>
      </c>
      <c r="F234" t="inlineStr">
        <is>
          <t>HALLANDS LÄN</t>
        </is>
      </c>
      <c r="G234" t="inlineStr">
        <is>
          <t>KUNGSBACKA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46298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46298</v>
      </c>
      <c r="F236" t="inlineStr">
        <is>
          <t>HALLANDS LÄN</t>
        </is>
      </c>
      <c r="G236" t="inlineStr">
        <is>
          <t>KUNGSBACKA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46298</v>
      </c>
      <c r="F237" t="inlineStr">
        <is>
          <t>HALLANDS LÄN</t>
        </is>
      </c>
      <c r="G237" t="inlineStr">
        <is>
          <t>KUNGSBACKA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46298</v>
      </c>
      <c r="F238" t="inlineStr">
        <is>
          <t>HALLANDS LÄN</t>
        </is>
      </c>
      <c r="G238" t="inlineStr">
        <is>
          <t>KUNGSBACKA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44593</v>
      </c>
      <c r="E239" s="1" t="n">
        <v>46298</v>
      </c>
      <c r="F239" t="inlineStr">
        <is>
          <t>HALLANDS LÄN</t>
        </is>
      </c>
      <c r="G239" t="inlineStr">
        <is>
          <t>KUNGSBACKA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46298</v>
      </c>
      <c r="F240" t="inlineStr">
        <is>
          <t>HALLANDS LÄN</t>
        </is>
      </c>
      <c r="G240" t="inlineStr">
        <is>
          <t>KUNGSBACKA</t>
        </is>
      </c>
      <c r="I240" t="n">
        <v>19.2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46298</v>
      </c>
      <c r="F241" t="inlineStr">
        <is>
          <t>HALLANDS LÄN</t>
        </is>
      </c>
      <c r="G241" t="inlineStr">
        <is>
          <t>KUNGSBACKA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46298</v>
      </c>
      <c r="F242" t="inlineStr">
        <is>
          <t>HALLANDS LÄN</t>
        </is>
      </c>
      <c r="G242" t="inlineStr">
        <is>
          <t>KUNGSBACKA</t>
        </is>
      </c>
      <c r="H242" t="inlineStr">
        <is>
          <t>Övriga Aktiebolag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46298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46298</v>
      </c>
      <c r="F244" t="inlineStr">
        <is>
          <t>HALLANDS LÄN</t>
        </is>
      </c>
      <c r="G244" t="inlineStr">
        <is>
          <t>KUNGSBACKA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46298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45656</v>
      </c>
      <c r="E246" s="1" t="n">
        <v>46298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46298</v>
      </c>
      <c r="F247" t="inlineStr">
        <is>
          <t>HALLANDS LÄN</t>
        </is>
      </c>
      <c r="G247" t="inlineStr">
        <is>
          <t>KUNGSBACKA</t>
        </is>
      </c>
      <c r="H247" t="inlineStr">
        <is>
          <t>Övriga Aktiebolag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52317-2022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44873</v>
      </c>
      <c r="E248" s="1" t="n">
        <v>46298</v>
      </c>
      <c r="F248" t="inlineStr">
        <is>
          <t>HALLANDS LÄN</t>
        </is>
      </c>
      <c r="G248" t="inlineStr">
        <is>
          <t>KUNGSBACKA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46298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46298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46258</v>
      </c>
      <c r="E251" s="1" t="n">
        <v>46298</v>
      </c>
      <c r="F251" t="inlineStr">
        <is>
          <t>HALLANDS LÄN</t>
        </is>
      </c>
      <c r="G251" t="inlineStr">
        <is>
          <t>KUNGSBACKA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46298</v>
      </c>
      <c r="F252" t="inlineStr">
        <is>
          <t>HALLANDS LÄN</t>
        </is>
      </c>
      <c r="G252" t="inlineStr">
        <is>
          <t>KUNGSBACKA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46298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46298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10140-2025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45719</v>
      </c>
      <c r="E255" s="1" t="n">
        <v>46298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46298</v>
      </c>
      <c r="F256" t="inlineStr">
        <is>
          <t>HALLANDS LÄN</t>
        </is>
      </c>
      <c r="G256" t="inlineStr">
        <is>
          <t>KUNGSBACKA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46260</v>
      </c>
      <c r="E257" s="1" t="n">
        <v>46298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46298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46298</v>
      </c>
      <c r="F259" t="inlineStr">
        <is>
          <t>HALLANDS LÄN</t>
        </is>
      </c>
      <c r="G259" t="inlineStr">
        <is>
          <t>KUNGSBACKA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45525</v>
      </c>
      <c r="E260" s="1" t="n">
        <v>46298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46298</v>
      </c>
      <c r="F261" t="inlineStr">
        <is>
          <t>HALLANDS LÄN</t>
        </is>
      </c>
      <c r="G261" t="inlineStr">
        <is>
          <t>KUNGSBACKA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46298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46298</v>
      </c>
      <c r="F263" t="inlineStr">
        <is>
          <t>HALLANDS LÄN</t>
        </is>
      </c>
      <c r="G263" t="inlineStr">
        <is>
          <t>KUNGSBACKA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46298</v>
      </c>
      <c r="F264" t="inlineStr">
        <is>
          <t>HALLANDS LÄN</t>
        </is>
      </c>
      <c r="G264" t="inlineStr">
        <is>
          <t>KUNGSBACKA</t>
        </is>
      </c>
      <c r="H264" t="inlineStr">
        <is>
          <t>Övriga Aktiebolag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45504</v>
      </c>
      <c r="E265" s="1" t="n">
        <v>46298</v>
      </c>
      <c r="F265" t="inlineStr">
        <is>
          <t>HALLANDS LÄN</t>
        </is>
      </c>
      <c r="G265" t="inlineStr">
        <is>
          <t>KUNGSBACKA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46298</v>
      </c>
      <c r="F266" t="inlineStr">
        <is>
          <t>HALLANDS LÄN</t>
        </is>
      </c>
      <c r="G266" t="inlineStr">
        <is>
          <t>KUNGSBACKA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46269</v>
      </c>
      <c r="E267" s="1" t="n">
        <v>46298</v>
      </c>
      <c r="F267" t="inlineStr">
        <is>
          <t>HALLANDS LÄN</t>
        </is>
      </c>
      <c r="G267" t="inlineStr">
        <is>
          <t>KUNGSBACKA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46298</v>
      </c>
      <c r="F268" t="inlineStr">
        <is>
          <t>HALLANDS LÄN</t>
        </is>
      </c>
      <c r="G268" t="inlineStr">
        <is>
          <t>KUNGSBACKA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46298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46298</v>
      </c>
      <c r="F270" t="inlineStr">
        <is>
          <t>HALLANDS LÄN</t>
        </is>
      </c>
      <c r="G270" t="inlineStr">
        <is>
          <t>KUNGSBACKA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46298</v>
      </c>
      <c r="F271" t="inlineStr">
        <is>
          <t>HALLANDS LÄN</t>
        </is>
      </c>
      <c r="G271" t="inlineStr">
        <is>
          <t>KUNGSBACKA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46298</v>
      </c>
      <c r="F272" t="inlineStr">
        <is>
          <t>HALLANDS LÄN</t>
        </is>
      </c>
      <c r="G272" t="inlineStr">
        <is>
          <t>KUNGSBACKA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10137-2025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45719</v>
      </c>
      <c r="E273" s="1" t="n">
        <v>46298</v>
      </c>
      <c r="F273" t="inlineStr">
        <is>
          <t>HALLANDS LÄN</t>
        </is>
      </c>
      <c r="G273" t="inlineStr">
        <is>
          <t>KUNGSBACKA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44773</v>
      </c>
      <c r="E274" s="1" t="n">
        <v>46298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46298</v>
      </c>
      <c r="F275" t="inlineStr">
        <is>
          <t>HALLANDS LÄN</t>
        </is>
      </c>
      <c r="G275" t="inlineStr">
        <is>
          <t>KUNGSBACKA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17293-2025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45756</v>
      </c>
      <c r="E276" s="1" t="n">
        <v>46298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46298</v>
      </c>
      <c r="F277" t="inlineStr">
        <is>
          <t>HALLANDS LÄN</t>
        </is>
      </c>
      <c r="G277" t="inlineStr">
        <is>
          <t>KUNGSBACKA</t>
        </is>
      </c>
      <c r="H277" t="inlineStr">
        <is>
          <t>Kommuner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46298</v>
      </c>
      <c r="F278" t="inlineStr">
        <is>
          <t>HALLANDS LÄN</t>
        </is>
      </c>
      <c r="G278" t="inlineStr">
        <is>
          <t>KUNGSBACKA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46298</v>
      </c>
      <c r="F279" t="inlineStr">
        <is>
          <t>HALLANDS LÄN</t>
        </is>
      </c>
      <c r="G279" t="inlineStr">
        <is>
          <t>KUNGSBACKA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45653</v>
      </c>
      <c r="E280" s="1" t="n">
        <v>46298</v>
      </c>
      <c r="F280" t="inlineStr">
        <is>
          <t>HALLANDS LÄN</t>
        </is>
      </c>
      <c r="G280" t="inlineStr">
        <is>
          <t>KUNGSBACKA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46298</v>
      </c>
      <c r="F281" t="inlineStr">
        <is>
          <t>HALLANDS LÄN</t>
        </is>
      </c>
      <c r="G281" t="inlineStr">
        <is>
          <t>KUNGSBACKA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46298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46298</v>
      </c>
      <c r="F283" t="inlineStr">
        <is>
          <t>HALLANDS LÄN</t>
        </is>
      </c>
      <c r="G283" t="inlineStr">
        <is>
          <t>KUNGSBACKA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46298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46298</v>
      </c>
      <c r="F285" t="inlineStr">
        <is>
          <t>HALLANDS LÄN</t>
        </is>
      </c>
      <c r="G285" t="inlineStr">
        <is>
          <t>KUNGSBACKA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40496-2026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46295</v>
      </c>
      <c r="E286" s="1" t="n">
        <v>46298</v>
      </c>
      <c r="F286" t="inlineStr">
        <is>
          <t>HALLANDS LÄN</t>
        </is>
      </c>
      <c r="G286" t="inlineStr">
        <is>
          <t>KUNGSBACKA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46295</v>
      </c>
      <c r="E287" s="1" t="n">
        <v>46298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40520-2026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46295</v>
      </c>
      <c r="E288" s="1" t="n">
        <v>46298</v>
      </c>
      <c r="F288" t="inlineStr">
        <is>
          <t>HALLANDS LÄN</t>
        </is>
      </c>
      <c r="G288" t="inlineStr">
        <is>
          <t>KUNGSBACKA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46295</v>
      </c>
      <c r="E289" s="1" t="n">
        <v>46298</v>
      </c>
      <c r="F289" t="inlineStr">
        <is>
          <t>HALLANDS LÄN</t>
        </is>
      </c>
      <c r="G289" t="inlineStr">
        <is>
          <t>KUNGSBACKA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46295</v>
      </c>
      <c r="E290" s="1" t="n">
        <v>46298</v>
      </c>
      <c r="F290" t="inlineStr">
        <is>
          <t>HALLANDS LÄN</t>
        </is>
      </c>
      <c r="G290" t="inlineStr">
        <is>
          <t>KUNGSBACKA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HYPERLINK("https://klasma.github.io/Logging_1384/knärot/A 40511-2026 karta knärot.png", "A 40511-2026")</f>
        <v/>
      </c>
      <c r="AA290">
        <f>HYPERLINK("https://klasma.github.io/Logging_1384/klagomål/A 40511-2026 FSC-klagomål.docx", "A 40511-2026")</f>
        <v/>
      </c>
      <c r="AB290">
        <f>HYPERLINK("https://klasma.github.io/Logging_1384/klagomålsmail/A 40511-2026 FSC-klagomål mail.docx", "A 40511-2026")</f>
        <v/>
      </c>
      <c r="AC290">
        <f>HYPERLINK("https://klasma.github.io/Logging_1384/tillsyn/A 40511-2026 tillsynsbegäran.docx", "A 40511-2026")</f>
        <v/>
      </c>
      <c r="AD290">
        <f>HYPERLINK("https://klasma.github.io/Logging_1384/tillsynsmail/A 40511-2026 tillsynsbegäran mail.docx", "A 40511-2026")</f>
        <v/>
      </c>
    </row>
    <row r="291" ht="15" customHeight="1">
      <c r="A291" t="inlineStr">
        <is>
          <t>A 47321-2024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46298</v>
      </c>
      <c r="F291" t="inlineStr">
        <is>
          <t>HALLANDS LÄN</t>
        </is>
      </c>
      <c r="G291" t="inlineStr">
        <is>
          <t>KUNGSBACKA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46297</v>
      </c>
      <c r="E292" s="1" t="n">
        <v>46298</v>
      </c>
      <c r="F292" t="inlineStr">
        <is>
          <t>HALLANDS LÄN</t>
        </is>
      </c>
      <c r="G292" t="inlineStr">
        <is>
          <t>KUNGSBACKA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46298</v>
      </c>
      <c r="F293" t="inlineStr">
        <is>
          <t>HALLANDS LÄN</t>
        </is>
      </c>
      <c r="G293" t="inlineStr">
        <is>
          <t>KUNGSBACKA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46298</v>
      </c>
      <c r="F294" t="inlineStr">
        <is>
          <t>HALLANDS LÄN</t>
        </is>
      </c>
      <c r="G294" t="inlineStr">
        <is>
          <t>KUNGSBACKA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44997</v>
      </c>
      <c r="E295" s="1" t="n">
        <v>46298</v>
      </c>
      <c r="F295" t="inlineStr">
        <is>
          <t>HALLANDS LÄN</t>
        </is>
      </c>
      <c r="G295" t="inlineStr">
        <is>
          <t>KUNGSBACKA</t>
        </is>
      </c>
      <c r="I295" t="n">
        <v>10.5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46298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45510</v>
      </c>
      <c r="E297" s="1" t="n">
        <v>46298</v>
      </c>
      <c r="F297" t="inlineStr">
        <is>
          <t>HALLANDS LÄN</t>
        </is>
      </c>
      <c r="G297" t="inlineStr">
        <is>
          <t>KUNGSBACKA</t>
        </is>
      </c>
      <c r="H297" t="inlineStr">
        <is>
          <t>Kyrkan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46298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45208</v>
      </c>
      <c r="E299" s="1" t="n">
        <v>46298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46298</v>
      </c>
      <c r="F300" t="inlineStr">
        <is>
          <t>HALLANDS LÄN</t>
        </is>
      </c>
      <c r="G300" t="inlineStr">
        <is>
          <t>KUNGSBACKA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46298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46298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44777</v>
      </c>
      <c r="E303" s="1" t="n">
        <v>46298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46298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42412-2022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44831</v>
      </c>
      <c r="E305" s="1" t="n">
        <v>46298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46298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46298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44992</v>
      </c>
      <c r="E308" s="1" t="n">
        <v>46298</v>
      </c>
      <c r="F308" t="inlineStr">
        <is>
          <t>HALLANDS LÄN</t>
        </is>
      </c>
      <c r="G308" t="inlineStr">
        <is>
          <t>KUNGSBACKA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19502-2022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44693</v>
      </c>
      <c r="E309" s="1" t="n">
        <v>46298</v>
      </c>
      <c r="F309" t="inlineStr">
        <is>
          <t>HALLANDS LÄN</t>
        </is>
      </c>
      <c r="G309" t="inlineStr">
        <is>
          <t>KUNGSBACKA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44925</v>
      </c>
      <c r="E310" s="1" t="n">
        <v>46298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45698</v>
      </c>
      <c r="E311" s="1" t="n">
        <v>46298</v>
      </c>
      <c r="F311" t="inlineStr">
        <is>
          <t>HALLANDS LÄN</t>
        </is>
      </c>
      <c r="G311" t="inlineStr">
        <is>
          <t>KUNGSBACKA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46298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46298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46298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45776</v>
      </c>
      <c r="E315" s="1" t="n">
        <v>46298</v>
      </c>
      <c r="F315" t="inlineStr">
        <is>
          <t>HALLANDS LÄN</t>
        </is>
      </c>
      <c r="G315" t="inlineStr">
        <is>
          <t>KUNGSBACKA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>
      <c r="A316" t="inlineStr">
        <is>
          <t>S 59-2025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45667</v>
      </c>
      <c r="E316" s="1" t="n">
        <v>46298</v>
      </c>
      <c r="F316" t="inlineStr">
        <is>
          <t>HALLANDS LÄN</t>
        </is>
      </c>
      <c r="G316" t="inlineStr">
        <is>
          <t>KUNGSBACKA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2026-10-03T02:00:05Z</dcterms:created>
  <dcterms:modified xmlns:dcterms="http://purl.org/dc/terms/" xmlns:xsi="http://www.w3.org/2001/XMLSchema-instance" xsi:type="dcterms:W3CDTF">2026-10-03T02:00:05Z</dcterms:modified>
</cp:coreProperties>
</file>